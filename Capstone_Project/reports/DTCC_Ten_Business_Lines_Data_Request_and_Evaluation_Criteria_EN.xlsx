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2061b2878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Criteria" sheetId="1" r:id="R84393517eb014e92"/>
    <x:sheet xmlns:r="http://schemas.openxmlformats.org/officeDocument/2006/relationships" name="Data Request List" sheetId="2" r:id="R407e6472ce5349af"/>
    <x:sheet xmlns:r="http://schemas.openxmlformats.org/officeDocument/2006/relationships" name="Change Calculator" sheetId="3" r:id="R4a6118ca205d40b6"/>
    <x:sheet xmlns:r="http://schemas.openxmlformats.org/officeDocument/2006/relationships" name="ML Fields" sheetId="4" r:id="R295a18dac0cf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&quot; pp&quot;"/>
  </x:numFmts>
  <x:fonts count="6">
    <x:font>
      <x:sz val="11"/>
      <x:name val="Carlito"/>
    </x:font>
    <x:font>
      <x:sz val="11"/>
      <x:color rgb="FF1E293B"/>
      <x:name val="Arial Unicode MS"/>
    </x:font>
    <x:font>
      <x:b/>
      <x:sz val="16"/>
      <x:color rgb="FF000000"/>
      <x:name val="Arial Unicode MS"/>
    </x:font>
    <x:font>
      <x:b/>
      <x:sz val="11"/>
      <x:color rgb="FFFFFFFF"/>
      <x:name val="Arial Unicode MS"/>
    </x:font>
    <x:font>
      <x:sz val="11"/>
      <x:color rgb="FF166534"/>
      <x:name val="Arial Unicode MS"/>
    </x:font>
    <x:font>
      <x:sz val="11"/>
      <x:color rgb="FF1665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E55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5">
    <x:border/>
    <x:border>
      <x:right style="thin">
        <x:color rgb="FFFFFFFF"/>
      </x:right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bottom style="thin">
        <x:color rgb="FFD9D9D9"/>
      </x:bottom>
    </x:border>
    <x:border>
      <x:left style="thin">
        <x:color rgb="FFFFFFFF"/>
      </x:left>
      <x:bottom style="thin">
        <x:color rgb="FFD9D9D9"/>
      </x:bottom>
    </x:border>
    <x:border>
      <x:bottom style="thin">
        <x:color rgb="FFE1E6EA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1" fillId="5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200" fontId="1" fillId="5" borderId="4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201" fontId="1" fillId="4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1" fontId="1" fillId="5" borderId="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9B1C1C"/>
      </x:font>
      <x:fill>
        <x:patternFill patternType="solid">
          <x:bgColor rgb="FFFDE6E6"/>
        </x:patternFill>
      </x:fill>
    </x:dxf>
    <x:dxf>
      <x:font>
        <x:color rgb="FF235B36"/>
      </x:font>
      <x:fill>
        <x:patternFill patternType="solid">
          <x:bgColor rgb="FFE5F3E8"/>
        </x:patternFill>
      </x:fill>
    </x:dxf>
    <x:dxf>
      <x:font>
        <x:color rgb="FF9B1C1C"/>
      </x:font>
      <x:fill>
        <x:patternFill patternType="solid">
          <x:bgColor rgb="FFFDE6E6"/>
        </x:patternFill>
      </x:fill>
    </x:dxf>
    <x:dxf>
      <x:font>
        <x:color rgb="FF235B36"/>
      </x:font>
      <x:fill>
        <x:patternFill patternType="solid">
          <x:bgColor rgb="FFE5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b15342d614dbe" /><Relationship Type="http://schemas.openxmlformats.org/officeDocument/2006/relationships/theme" Target="/xl/theme/theme1.xml" Id="R250ff1a5acf94f86" /><Relationship Type="http://schemas.openxmlformats.org/officeDocument/2006/relationships/sharedStrings" Target="/xl/sharedStrings.xml" Id="Rd06af6d8697b4467" /><Relationship Type="http://schemas.openxmlformats.org/officeDocument/2006/relationships/worksheet" Target="/xl/worksheets/sheet1.xml" Id="R84393517eb014e92" /><Relationship Type="http://schemas.openxmlformats.org/officeDocument/2006/relationships/worksheet" Target="/xl/worksheets/sheet2.xml" Id="R407e6472ce5349af" /><Relationship Type="http://schemas.openxmlformats.org/officeDocument/2006/relationships/worksheet" Target="/xl/worksheets/sheet3.xml" Id="R4a6118ca205d40b6" /><Relationship Type="http://schemas.openxmlformats.org/officeDocument/2006/relationships/worksheet" Target="/xl/worksheets/sheet4.xml" Id="R295a18dac0cf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5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9" hidden="0" customWidth="1"/>
    <x:col min="3" max="3" width="29" hidden="0" customWidth="1"/>
    <x:col min="4" max="4" width="37" hidden="0" customWidth="1"/>
    <x:col min="5" max="5" width="41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Evaluation Criteria for DTCC’s Ten Business Lines</x:v>
      </x:c>
      <x:c r="B2" s="2"/>
      <x:c r="C2" s="2"/>
      <x:c r="D2" s="2"/>
      <x:c r="E2" s="2"/>
    </x:row>
    <x:row r="3" ht="26" customHeight="1">
      <x:c r="A3" s="2" t="str">
        <x:v>Evaluate the ten business lines in the kickoff. Keep FICC as one business line without splitting revenue. Prepared October 2, 2026.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15" hidden="0" customHeight="1">
      <x:c r="A5" s="8" t="str">
        <x:v>Business line</x:v>
      </x:c>
      <x:c r="B5" s="9" t="str">
        <x:v>What good performance looks like</x:v>
      </x:c>
      <x:c r="C5" s="9" t="str">
        <x:v>Three core metrics</x:v>
      </x:c>
      <x:c r="D5" s="9" t="str">
        <x:v>Signs of deterioration</x:v>
      </x:c>
      <x:c r="E5" s="10" t="str">
        <x:v>Interpretation notes</x:v>
      </x:c>
    </x:row>
    <x:row r="6" ht="39.599998474121094" hidden="0" customHeight="1">
      <x:c r="A6" s="12" t="str">
        <x:v>FICC
Fixed Income Clearing</x:v>
      </x:c>
      <x:c r="B6" s="12" t="str">
        <x:v>Stable, timely clearing; financial safeguards meet applicable targets; capacity supports business activity.</x:v>
      </x:c>
      <x:c r="C6" s="12" t="str">
        <x:v>Average daily cleared volume
On-time settlement success rate
Margin backtesting coverage rate</x:v>
      </x:c>
      <x:c r="D6" s="12" t="str">
        <x:v>More settlement delays; safeguards below target.</x:v>
      </x:c>
      <x:c r="E6" s="12" t="str">
        <x:v>Higher volume may reflect market stress. More total margin is not automatically good or bad.</x:v>
      </x:c>
    </x:row>
    <x:row r="7" ht="39.599998474121094" hidden="0" customHeight="1">
      <x:c r="A7" s="14" t="str">
        <x:v>ECS
Equity Clearing and Settlement</x:v>
      </x:c>
      <x:c r="B7" s="14" t="str">
        <x:v>Timely settlement; volume changes can be explained; lower unit costs at the same service quality.</x:v>
      </x:c>
      <x:c r="C7" s="14" t="str">
        <x:v>Average daily settlement volume
On-time settlement success rate
Processing cost per transaction</x:v>
      </x:c>
      <x:c r="D7" s="14" t="str">
        <x:v>More failures or delays; higher processing costs at the same service quality.</x:v>
      </x:c>
      <x:c r="E7" s="14" t="str">
        <x:v>NSCC and DTC use different reporting scopes. Industry settlement failure rates are not the platform’s own failure rates.</x:v>
      </x:c>
    </x:row>
    <x:row r="8" ht="39.599998474121094" hidden="0" customHeight="1">
      <x:c r="A8" s="12" t="str">
        <x:v>RDS
Reporting and Derivatives Services</x:v>
      </x:c>
      <x:c r="B8" s="12" t="str">
        <x:v>Timely, valid reporting; fewer corrections; sustained adoption in comparable markets.</x:v>
      </x:c>
      <x:c r="C8" s="12" t="str">
        <x:v>On-time valid reporting rate
Share of records requiring correction
Market share on a comparable basis</x:v>
      </x:c>
      <x:c r="D8" s="12" t="str">
        <x:v>More missing, late or corrected reports; lower comparable market share.</x:v>
      </x:c>
      <x:c r="E8" s="12" t="str">
        <x:v>Separate requirements by regulation and jurisdiction. More reporting messages do not necessarily mean more new clients.</x:v>
      </x:c>
    </x:row>
    <x:row r="9" ht="52.79999923706055" hidden="0" customHeight="1">
      <x:c r="A9" s="14" t="str">
        <x:v>WIS
Wealth and Investment Services</x:v>
      </x:c>
      <x:c r="B9" s="14" t="str">
        <x:v>Actual business instructions complete successfully, with less manual handling and timely processing.</x:v>
      </x:c>
      <x:c r="C9" s="14" t="str">
        <x:v>Successfully processed instruction volume
Straight-through processing rate
On-time completion rate</x:v>
      </x:c>
      <x:c r="D9" s="14" t="str">
        <x:v>More manual intervention, timeouts or failures.</x:v>
      </x:c>
      <x:c r="E9" s="14" t="str">
        <x:v>Fund, insurance and private-market services have different amounts and service deadlines.</x:v>
      </x:c>
    </x:row>
    <x:row r="10" ht="52.79999923706055" hidden="0" customHeight="1">
      <x:c r="A10" s="12" t="str">
        <x:v>ITP
Institutional Trade Processing</x:v>
      </x:c>
      <x:c r="B10" s="12" t="str">
        <x:v>Trades are affirmed before the cutoff, workflows complete automatically, and institutions continue to use production services.</x:v>
      </x:c>
      <x:c r="C10" s="12" t="str">
        <x:v>Trade affirmation rate before cutoff
Automated matching and instruction rate
Production-active institution count</x:v>
      </x:c>
      <x:c r="D10" s="12" t="str">
        <x:v>More late affirmations or manual remediation; lower actual usage.</x:v>
      </x:c>
      <x:c r="E10" s="12" t="str">
        <x:v>Matching, affirmation and settlement are different stages and cannot substitute for one another.</x:v>
      </x:c>
    </x:row>
    <x:row r="11" ht="52.79999923706055" hidden="0" customHeight="1">
      <x:c r="A11" s="14" t="str">
        <x:v>Asset Services</x:v>
      </x:c>
      <x:c r="B11" s="14" t="str">
        <x:v>Dividends, interest and other corporate actions complete accurately and on time; service coverage is maintained or grows.</x:v>
      </x:c>
      <x:c r="C11" s="14" t="str">
        <x:v>On-time corporate action completion rate
Errors per 10,000 processing events
Net new assets under custody</x:v>
      </x:c>
      <x:c r="D11" s="14" t="str">
        <x:v>More payment or processing errors and delays.</x:v>
      </x:c>
      <x:c r="E11" s="14" t="str">
        <x:v>Custody balances are affected by market prices. Total assets are not revenue.</x:v>
      </x:c>
    </x:row>
    <x:row r="12" ht="39.599998474121094" hidden="0" customHeight="1">
      <x:c r="A12" s="12" t="str">
        <x:v>DAS
Digital Asset Solutions</x:v>
      </x:c>
      <x:c r="B12" s="12" t="str">
        <x:v>Actual participation and effective assets increase; production services achieve final completion on time.</x:v>
      </x:c>
      <x:c r="C12" s="12" t="str">
        <x:v>Production-active institution count
On-time final completion rate
Effective asset value</x:v>
      </x:c>
      <x:c r="D12" s="12" t="str">
        <x:v>Launches fall behind schedule; production failures increase or actual usage declines persistently.</x:v>
      </x:c>
      <x:c r="E12" s="12" t="str">
        <x:v>Separate pilots from production. Working-group members are not necessarily clients.</x:v>
      </x:c>
    </x:row>
    <x:row r="13" ht="39.599998474121094" hidden="0" customHeight="1">
      <x:c r="A13" s="14" t="str">
        <x:v>DDA
Digital Asset Technology Platform</x:v>
      </x:c>
      <x:c r="B13" s="14" t="str">
        <x:v>Actual production deployments run reliably; services remain available; latency falls at comparable loads.</x:v>
      </x:c>
      <x:c r="C13" s="14" t="str">
        <x:v>Production-active deployment count
Critical service availability
P95 processing latency</x:v>
      </x:c>
      <x:c r="D13" s="14" t="str">
        <x:v>More outages or timeouts; lower actual production adoption.</x:v>
      </x:c>
      <x:c r="E13" s="14" t="str">
        <x:v>Separate internal and external deployments. Successful technical execution does not necessarily mean final business settlement.</x:v>
      </x:c>
    </x:row>
    <x:row r="14" ht="52.79999923706055" hidden="0" customHeight="1">
      <x:c r="A14" s="12" t="str">
        <x:v>Data Services</x:v>
      </x:c>
      <x:c r="B14" s="12" t="str">
        <x:v>Clients renew, data arrives on time, and errors remain low.</x:v>
      </x:c>
      <x:c r="C14" s="12" t="str">
        <x:v>Renewal rate for paid clients due to renew
On-time delivery rate
Share of erroneous data records</x:v>
      </x:c>
      <x:c r="D14" s="12" t="str">
        <x:v>Lower renewal rates; more late deliveries or errors.</x:v>
      </x:c>
      <x:c r="E14" s="12" t="str">
        <x:v>Product launches and API requests alone do not demonstrate client value.</x:v>
      </x:c>
    </x:row>
    <x:row r="15" ht="39.599998474121094" hidden="0" customHeight="1">
      <x:c r="A15" s="14" t="str">
        <x:v>Consulting</x:v>
      </x:c>
      <x:c r="B15" s="14" t="str">
        <x:v>Projects are accepted as agreed, agreed outcomes are evidenced, and clients have follow-on demand.</x:v>
      </x:c>
      <x:c r="C15" s="14" t="str">
        <x:v>On-time project acceptance rate
Client repeat-purchase rate
Verified outcome attainment rate</x:v>
      </x:c>
      <x:c r="D15" s="14" t="str">
        <x:v>Project delays, failed acceptance or unmet agreed outcomes.</x:v>
      </x:c>
      <x:c r="E15" s="14" t="str">
        <x:v>One-off regulatory projects may not generate repeat purchases. Interpret results by project type.</x:v>
      </x:c>
    </x:row>
    <x:row r="16">
      <x:c r="A16" s="2"/>
      <x:c r="B16" s="2"/>
      <x:c r="C16" s="2"/>
      <x:c r="D16" s="2"/>
      <x:c r="E16" s="2"/>
    </x:row>
    <x:row r="17" ht="30" customHeight="1">
      <x:c r="A17" s="15" t="str">
        <x:v>Assessment order: check service and risk targets first, then measure changes. Volume growth cannot offset major settlement or service incidents.</x:v>
      </x:c>
      <x:c r="B17" s="15"/>
      <x:c r="C17" s="15"/>
      <x:c r="D17" s="15"/>
      <x:c r="E17" s="15"/>
    </x:row>
    <x:row r="18" ht="30" customHeight="1">
      <x:c r="A18" s="15" t="str">
        <x:v>Revenue, profit and fees may supplement the assessment only where a genuine business-line reporting scope exists. Do not substitute parent-company or legal-entity profit for business-line profit.</x:v>
      </x:c>
      <x:c r="B18" s="15"/>
      <x:c r="C18" s="15"/>
      <x:c r="D18" s="15"/>
      <x:c r="E18" s="15"/>
    </x:row>
    <x:row r="19">
      <x:c r="A19" s="2"/>
      <x:c r="B19" s="2"/>
      <x:c r="C19" s="2"/>
      <x:c r="D19" s="2"/>
      <x:c r="E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7" hidden="0" customWidth="1"/>
    <x:col min="4" max="4" width="43" hidden="0" customWidth="1"/>
    <x:col min="5" max="5" width="42" hidden="0" customWidth="1"/>
    <x:col min="6" max="6" width="13" hidden="0" customWidth="1"/>
    <x:col min="7" max="7" width="17" hidden="0" customWidth="1"/>
    <x:col min="8" max="8" width="27" hidden="0" customWidth="1"/>
    <x:col min="9" max="9" width="47" hidden="0" customWidth="1"/>
    <x:col min="10" max="10" width="42" hidden="0" customWidth="1"/>
    <x:col min="11" max="11" width="44" hidden="0" customWidth="1"/>
    <x:col min="12" max="12" width="48" hidden="0" customWidth="1"/>
    <x:col min="13" max="13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Data Request Checklist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6" customHeight="1">
      <x:c r="A3" s="2" t="str">
        <x:v>Request existing public data links, metric definitions and historical series first. Keep unavailable public metrics unknown; do not enter zero.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15" hidden="0" customHeight="1">
      <x:c r="A5" s="8" t="str">
        <x:v>Metric ID</x:v>
      </x:c>
      <x:c r="B5" s="9" t="str">
        <x:v>Business line</x:v>
      </x:c>
      <x:c r="C5" s="9" t="str">
        <x:v>Metric</x:v>
      </x:c>
      <x:c r="D5" s="9" t="str">
        <x:v>Required underlying statistics</x:v>
      </x:c>
      <x:c r="E5" s="9" t="str">
        <x:v>Calculation formula</x:v>
      </x:c>
      <x:c r="F5" s="9" t="str">
        <x:v>Unit</x:v>
      </x:c>
      <x:c r="G5" s="9" t="str">
        <x:v>Better direction</x:v>
      </x:c>
      <x:c r="H5" s="9" t="str">
        <x:v>Suggested frequency</x:v>
      </x:c>
      <x:c r="I5" s="9" t="str">
        <x:v>How to assess performance</x:v>
      </x:c>
      <x:c r="J5" s="9" t="str">
        <x:v>Provisional material-change rule</x:v>
      </x:c>
      <x:c r="K5" s="9" t="str">
        <x:v>Public availability</x:v>
      </x:c>
      <x:c r="L5" s="9" t="str">
        <x:v>Interpretation limits</x:v>
      </x:c>
      <x:c r="M5" s="10" t="str">
        <x:v>Project sponsor response</x:v>
      </x:c>
    </x:row>
    <x:row r="6" ht="39.599998474121094" hidden="0" customHeight="1">
      <x:c r="A6" s="12" t="str">
        <x:v>FICC01</x:v>
      </x:c>
      <x:c r="B6" s="12" t="str">
        <x:v>FICC</x:v>
      </x:c>
      <x:c r="C6" s="12" t="str">
        <x:v>Daily average clearing volume</x:v>
      </x:c>
      <x:c r="D6" s="12" t="str">
        <x:v>Eligible cleared transaction count and value for each period; business days; comparable total market volume, if available</x:v>
      </x:c>
      <x:c r="E6" s="12" t="str">
        <x:v>Daily average count = total count / business days; relative growth = business volume growth rate minus comparable market growth rate</x:v>
      </x:c>
      <x:c r="F6" s="12" t="str">
        <x:v>Count/day
USD/day</x:v>
      </x:c>
      <x:c r="G6" s="12" t="str">
        <x:v>Higher, subject to conditions</x:v>
      </x:c>
      <x:c r="H6" s="12" t="str">
        <x:v>Weekly/monthly; retain the original frequency of public disclosures</x:v>
      </x:c>
      <x:c r="I6" s="12" t="str">
        <x:v>Growth relative to the market is positive if settlement quality and safeguards do not deteriorate. Volume growth alone does not establish better performance.</x:v>
      </x:c>
      <x:c r="J6" s="12" t="str">
        <x:v>Review month-over-month changes of ±5% or more. This provisional threshold is for initial discussion and requires calibration to historical variability.</x:v>
      </x:c>
      <x:c r="K6" s="12" t="str">
        <x:v>Public quantitative disclosures and business announcements may provide volume figures; quarterly disclosure is common.</x:v>
      </x:c>
      <x:c r="L6" s="12" t="str">
        <x:v>Keep one-sided versus two-sided counting and transaction versus instruction definitions consistent. Do not double-count repo legs, net amounts, or different products.</x:v>
      </x:c>
      <x:c r="M6" s="16"/>
    </x:row>
    <x:row r="7" ht="39.599998474121094" hidden="0" customHeight="1">
      <x:c r="A7" s="14" t="str">
        <x:v>FICC02</x:v>
      </x:c>
      <x:c r="B7" s="14" t="str">
        <x:v>FICC</x:v>
      </x:c>
      <x:c r="C7" s="14" t="str">
        <x:v>On-time settlement success rate</x:v>
      </x:c>
      <x:c r="D7" s="14" t="str">
        <x:v>Instructions due for settlement in the period; instructions successfully settled by the required cutoff; failed/delayed instructions</x:v>
      </x:c>
      <x:c r="E7" s="14" t="str">
        <x:v>Instructions settled successfully on time / instructions due for settlement in the period</x:v>
      </x:c>
      <x:c r="F7" s="14" t="str">
        <x:v>%</x:v>
      </x:c>
      <x:c r="G7" s="14" t="str">
        <x:v>Higher is better</x:v>
      </x:c>
      <x:c r="H7" s="14" t="str">
        <x:v>Collect daily; aggregate weekly/monthly</x:v>
      </x:c>
      <x:c r="I7" s="14" t="str">
        <x:v>Meeting the applicable cutoff and target indicates compliance. A lower success rate or more failures is negative.</x:v>
      </x:c>
      <x:c r="J7" s="14" t="str">
        <x:v>Review monthly changes of ±0.10 percentage points (pp) or more. Near 100%, prioritize failure counts and target breaches.</x:v>
      </x:c>
      <x:c r="K7" s="14" t="str">
        <x:v>Complete weekly/monthly detail usually requires internal statistics. Leave unavailable values blank in the current public-data-only project.</x:v>
      </x:c>
      <x:c r="L7" s="14" t="str">
        <x:v>Failures may reflect member issues, security availability, or other factors. Distinguish causes rather than attributing all failures to FICC.</x:v>
      </x:c>
      <x:c r="M7" s="16"/>
    </x:row>
    <x:row r="8" ht="39.599998474121094" hidden="0" customHeight="1">
      <x:c r="A8" s="12" t="str">
        <x:v>FICC03</x:v>
      </x:c>
      <x:c r="B8" s="12" t="str">
        <x:v>FICC</x:v>
      </x:c>
      <x:c r="C8" s="12" t="str">
        <x:v>Margin backtesting coverage rate</x:v>
      </x:c>
      <x:c r="D8" s="12" t="str">
        <x:v>Total backtesting observations and margin-shortfall observations over the same window; publicly disclosed model target</x:v>
      </x:c>
      <x:c r="E8" s="12" t="str">
        <x:v>1 minus margin-shortfall observations / total observations</x:v>
      </x:c>
      <x:c r="F8" s="12" t="str">
        <x:v>%</x:v>
      </x:c>
      <x:c r="G8" s="12" t="str">
        <x:v>Meet and maintain the target</x:v>
      </x:c>
      <x:c r="H8" s="12" t="str">
        <x:v>Retain the original disclosure frequency; public disclosures are commonly quarterly</x:v>
      </x:c>
      <x:c r="I8" s="12" t="str">
        <x:v>Compare with the published target for the corresponding model. Falling below target signals insufficient protection; meeting it does not imply an absence of risk.</x:v>
      </x:c>
      <x:c r="J8" s="12" t="str">
        <x:v>Do not apply a universal ±0.10 pp threshold. Use the model target, breach counts, and shortfall amounts.</x:v>
      </x:c>
      <x:c r="K8" s="12" t="str">
        <x:v>Public CCP quantitative disclosures provide coverage and backtesting shortfall information; the observation window may be a rolling 12 months.</x:v>
      </x:c>
      <x:c r="L8" s="12" t="str">
        <x:v>Higher margin can raise coverage while increasing members' funding burden. Review liquidity safeguards alongside coverage.</x:v>
      </x:c>
      <x:c r="M8" s="16"/>
    </x:row>
    <x:row r="9" ht="39.599998474121094" hidden="0" customHeight="1">
      <x:c r="A9" s="14" t="str">
        <x:v>ECS01</x:v>
      </x:c>
      <x:c r="B9" s="14" t="str">
        <x:v>ECS</x:v>
      </x:c>
      <x:c r="C9" s="14" t="str">
        <x:v>Daily average settlement volume</x:v>
      </x:c>
      <x:c r="D9" s="14" t="str">
        <x:v>Settlement instruction count and value for each period; business days; a consistent ECS scope</x:v>
      </x:c>
      <x:c r="E9" s="14" t="str">
        <x:v>Total count / business days; total value / business days</x:v>
      </x:c>
      <x:c r="F9" s="14" t="str">
        <x:v>Count/day
USD/day</x:v>
      </x:c>
      <x:c r="G9" s="14" t="str">
        <x:v>Higher, subject to conditions</x:v>
      </x:c>
      <x:c r="H9" s="14" t="str">
        <x:v>Weekly/monthly; retain the original frequency of public disclosures</x:v>
      </x:c>
      <x:c r="I9" s="14" t="str">
        <x:v>Higher market-adjusted activity is positive if quality is maintained. Volume increases driven by high volatility indicate activity changes alone.</x:v>
      </x:c>
      <x:c r="J9" s="14" t="str">
        <x:v>Review month-over-month changes of ±5% or more. This provisional threshold is for initial discussion and requires calibration to historical variability.</x:v>
      </x:c>
      <x:c r="K9" s="14" t="str">
        <x:v>Public sources may provide selected observations; complete weekly/monthly history is unconfirmed. Request public links first.</x:v>
      </x:c>
      <x:c r="L9" s="14" t="str">
        <x:v>NSCC clearing and DTC settlement measure different activities and cannot be added directly. Do not attribute all DTC volume to ECS.</x:v>
      </x:c>
      <x:c r="M9" s="16"/>
    </x:row>
    <x:row r="10" ht="39.599998474121094" hidden="0" customHeight="1">
      <x:c r="A10" s="12" t="str">
        <x:v>ECS02</x:v>
      </x:c>
      <x:c r="B10" s="12" t="str">
        <x:v>ECS</x:v>
      </x:c>
      <x:c r="C10" s="12" t="str">
        <x:v>On-time settlement success rate</x:v>
      </x:c>
      <x:c r="D10" s="12" t="str">
        <x:v>Transactions due for settlement; transactions completed within the applicable settlement deadline; failures and their causes</x:v>
      </x:c>
      <x:c r="E10" s="12" t="str">
        <x:v>Transactions settled successfully on time / transactions due for settlement</x:v>
      </x:c>
      <x:c r="F10" s="12" t="str">
        <x:v>%</x:v>
      </x:c>
      <x:c r="G10" s="12" t="str">
        <x:v>Higher is better</x:v>
      </x:c>
      <x:c r="H10" s="12" t="str">
        <x:v>Collect daily; aggregate weekly/monthly</x:v>
      </x:c>
      <x:c r="I10" s="12" t="str">
        <x:v>A higher on-time completion rate is an improvement. Exceeding applicable failure/delay limits or missing targets is negative.</x:v>
      </x:c>
      <x:c r="J10" s="12" t="str">
        <x:v>Review monthly changes of ±0.10 percentage points (pp) or more. Near 100%, prioritize failure counts and target breaches.</x:v>
      </x:c>
      <x:c r="K10" s="12" t="str">
        <x:v>Complete weekly/monthly detail usually requires internal statistics. Leave unavailable values blank in the current public-data-only project.</x:v>
      </x:c>
      <x:c r="L10" s="12" t="str">
        <x:v>The overall market failure rate cannot substitute for DTCC's own rate. Keep the settlement cycle and securities scope consistent.</x:v>
      </x:c>
      <x:c r="M10" s="16"/>
    </x:row>
    <x:row r="11" ht="39.599998474121094" hidden="0" customHeight="1">
      <x:c r="A11" s="14" t="str">
        <x:v>ECS03</x:v>
      </x:c>
      <x:c r="B11" s="14" t="str">
        <x:v>ECS</x:v>
      </x:c>
      <x:c r="C11" s="14" t="str">
        <x:v>Processing cost per transaction</x:v>
      </x:c>
      <x:c r="D11" s="14" t="str">
        <x:v>Operating costs allocated to ECS under established rules; successfully processed transaction count; cost allocation rules</x:v>
      </x:c>
      <x:c r="E11" s="14" t="str">
        <x:v>Period operating costs / period successfully processed transaction count</x:v>
      </x:c>
      <x:c r="F11" s="14" t="str">
        <x:v>USD/transaction</x:v>
      </x:c>
      <x:c r="G11" s="14" t="str">
        <x:v>Lower is better</x:v>
      </x:c>
      <x:c r="H11" s="14" t="str">
        <x:v>Monthly; complete public data on the corresponding basis is generally unavailable</x:v>
      </x:c>
      <x:c r="I11" s="14" t="str">
        <x:v>Lower cost is an improvement if quality and risk safeguards are maintained. Separate new investment, business mix, and efficiency effects when costs rise.</x:v>
      </x:c>
      <x:c r="J11" s="14" t="str">
        <x:v>Review month-over-month changes of ±5% or more. This provisional threshold is for initial discussion and requires calibration to historical variability.</x:v>
      </x:c>
      <x:c r="K11" s="14" t="str">
        <x:v>Complete weekly/monthly detail usually requires internal statistics. Leave unavailable values blank in the current public-data-only project.</x:v>
      </x:c>
      <x:c r="L11" s="14" t="str">
        <x:v>Do not allocate all NSCC or DTC costs directly to ECS. Do not distribute annual costs evenly across weeks.</x:v>
      </x:c>
      <x:c r="M11" s="16"/>
    </x:row>
    <x:row r="12" ht="39.599998474121094" hidden="0" customHeight="1">
      <x:c r="A12" s="12" t="str">
        <x:v>RDS01</x:v>
      </x:c>
      <x:c r="B12" s="12" t="str">
        <x:v>RDS</x:v>
      </x:c>
      <x:c r="C12" s="12" t="str">
        <x:v>On-time valid reporting rate</x:v>
      </x:c>
      <x:c r="D12" s="12" t="str">
        <x:v>Records due for submission in the period; valid records successfully accepted before the required cutoff</x:v>
      </x:c>
      <x:c r="E12" s="12" t="str">
        <x:v>Valid records accepted on time / records due for submission</x:v>
      </x:c>
      <x:c r="F12" s="12" t="str">
        <x:v>%</x:v>
      </x:c>
      <x:c r="G12" s="12" t="str">
        <x:v>Higher is better</x:v>
      </x:c>
      <x:c r="H12" s="12" t="str">
        <x:v>Collect daily; aggregate weekly/monthly</x:v>
      </x:c>
      <x:c r="I12" s="12" t="str">
        <x:v>A higher on-time acceptance rate that meets applicable rules is an improvement. More missing, late, or invalid submissions is negative.</x:v>
      </x:c>
      <x:c r="J12" s="12" t="str">
        <x:v>Review monthly changes of ±0.10 percentage points (pp) or more. Near 100%, prioritize failure counts and target breaches.</x:v>
      </x:c>
      <x:c r="K12" s="12" t="str">
        <x:v>Complete weekly/monthly detail usually requires internal statistics. Leave unavailable values blank in the current public-data-only project.</x:v>
      </x:c>
      <x:c r="L12" s="12" t="str">
        <x:v>Define separately by jurisdiction and regulation. System acceptance does not establish compliance with every regulatory content requirement.</x:v>
      </x:c>
      <x:c r="M12" s="16"/>
    </x:row>
    <x:row r="13" ht="39.599998474121094" hidden="0" customHeight="1">
      <x:c r="A13" s="14" t="str">
        <x:v>RDS02</x:v>
      </x:c>
      <x:c r="B13" s="14" t="str">
        <x:v>RDS</x:v>
      </x:c>
      <x:c r="C13" s="14" t="str">
        <x:v>Proportion of records requiring correction</x:v>
      </x:c>
      <x:c r="D13" s="14" t="str">
        <x:v>Distinct original records in the period; distinct records requiring correction/resubmission because of errors; error causes</x:v>
      </x:c>
      <x:c r="E13" s="14" t="str">
        <x:v>Distinct records requiring correction / original records</x:v>
      </x:c>
      <x:c r="F13" s="14" t="str">
        <x:v>%</x:v>
      </x:c>
      <x:c r="G13" s="14" t="str">
        <x:v>Lower is better</x:v>
      </x:c>
      <x:c r="H13" s="14" t="str">
        <x:v>Weekly/monthly</x:v>
      </x:c>
      <x:c r="I13" s="14" t="str">
        <x:v>A lower correction rate is an improvement; a higher rate indicates poorer quality. Explain data or rule changes separately first.</x:v>
      </x:c>
      <x:c r="J13" s="14" t="str">
        <x:v>Review monthly changes of ±0.10 percentage points (pp) or more. Near 100%, prioritize failure counts and target breaches.</x:v>
      </x:c>
      <x:c r="K13" s="14" t="str">
        <x:v>Complete weekly/monthly detail usually requires internal statistics. Leave unavailable values blank in the current public-data-only project.</x:v>
      </x:c>
      <x:c r="L13" s="14" t="str">
        <x:v>Count a record only once even if resubmitted multiple times. Distinguish client errors, repository processing errors, and routine lifecycle updates.</x:v>
      </x:c>
      <x:c r="M13" s="16"/>
    </x:row>
    <x:row r="14" ht="39.599998474121094" hidden="0" customHeight="1">
      <x:c r="A14" s="12" t="str">
        <x:v>RDS03</x:v>
      </x:c>
      <x:c r="B14" s="12" t="str">
        <x:v>RDS</x:v>
      </x:c>
      <x:c r="C14" s="12" t="str">
        <x:v>Comparable market share</x:v>
      </x:c>
      <x:c r="D14" s="12" t="str">
        <x:v>DTCC valid reporting volume within a specified jurisdiction/product; valid reporting volume across all repositories in that market</x:v>
      </x:c>
      <x:c r="E14" s="12" t="str">
        <x:v>DTCC valid volume / total valid market volume on the same basis</x:v>
      </x:c>
      <x:c r="F14" s="12" t="str">
        <x:v>%</x:v>
      </x:c>
      <x:c r="G14" s="12" t="str">
        <x:v>Higher, subject to conditions</x:v>
      </x:c>
      <x:c r="H14" s="12" t="str">
        <x:v>Monthly/quarterly; follow the actual publication frequency</x:v>
      </x:c>
      <x:c r="I14" s="12" t="str">
        <x:v>Higher comparable market share is positive if service quality is maintained. A decline signals a change in competitive position.</x:v>
      </x:c>
      <x:c r="J14" s="12" t="str">
        <x:v>Review monthly/quarterly changes of ±1 percentage point (pp) or more. Historical calibration is required.</x:v>
      </x:c>
      <x:c r="K14" s="12" t="str">
        <x:v>DTCC product pages provide estimated share snapshots; a continuous comparable denominator and history are unconfirmed.</x:v>
      </x:c>
      <x:c r="L14" s="12" t="str">
        <x:v>Do not combine derivatives, securities financing, and credit derivatives shares into one share measure. Retain the estimated-value flag.</x:v>
      </x:c>
      <x:c r="M14" s="16"/>
    </x:row>
    <x:row r="15" ht="39.599998474121094" hidden="0" customHeight="1">
      <x:c r="A15" s="14" t="str">
        <x:v>WIS01</x:v>
      </x:c>
      <x:c r="B15" s="14" t="str">
        <x:v>WIS</x:v>
      </x:c>
      <x:c r="C15" s="14" t="str">
        <x:v>Successfully processed business instruction volume</x:v>
      </x:c>
      <x:c r="D15" s="14" t="str">
        <x:v>Total valid instructions; successfully completed instructions; business days; fund/insurance/private-market product identifiers</x:v>
      </x:c>
      <x:c r="E15" s="14" t="str">
        <x:v>Successfully completed instructions / business days</x:v>
      </x:c>
      <x:c r="F15" s="14" t="str">
        <x:v>Count/day</x:v>
      </x:c>
      <x:c r="G15" s="14" t="str">
        <x:v>Higher, subject to conditions</x:v>
      </x:c>
      <x:c r="H15" s="14" t="str">
        <x:v>Weekly/monthly</x:v>
      </x:c>
      <x:c r="I15" s="14" t="str">
        <x:v>Growth in comparable instructions is positive if completion quality is maintained. Higher industry fund flows alone do not establish WIS improvement.</x:v>
      </x:c>
      <x:c r="J15" s="14" t="str">
        <x:v>Review month-over-month changes of ±5% or more. This provisional threshold is for initial discussion and requires calibration to historical variability.</x:v>
      </x:c>
      <x:c r="K15" s="14" t="str">
        <x:v>Public sources may provide selected observations; complete weekly/monthly history is unconfirmed. Request public links first.</x:v>
      </x:c>
      <x:c r="L15" s="14" t="str">
        <x:v>Keep instruction types and units consistent. Do not directly add subscription amounts, premium amounts, and private-market commitments.</x:v>
      </x:c>
      <x:c r="M15" s="16"/>
    </x:row>
    <x:row r="16" ht="39.599998474121094" hidden="0" customHeight="1">
      <x:c r="A16" s="12" t="str">
        <x:v>WIS02</x:v>
      </x:c>
      <x:c r="B16" s="12" t="str">
        <x:v>WIS</x:v>
      </x:c>
      <x:c r="C16" s="12" t="str">
        <x:v>Straight-through processing rate</x:v>
      </x:c>
      <x:c r="D16" s="12" t="str">
        <x:v>Instructions completed without manual processing; total successfully processed instructions</x:v>
      </x:c>
      <x:c r="E16" s="12" t="str">
        <x:v>Instructions completed without manual intervention / total successfully processed instructions</x:v>
      </x:c>
      <x:c r="F16" s="12" t="str">
        <x:v>%</x:v>
      </x:c>
      <x:c r="G16" s="12" t="str">
        <x:v>Higher is better</x:v>
      </x:c>
      <x:c r="H16" s="12" t="str">
        <x:v>Weekly/monthly</x:v>
      </x:c>
      <x:c r="I16" s="12" t="str">
        <x:v>A higher straight-through rate is an improvement if error rates and timeliness are maintained. A decline indicates more manual processing.</x:v>
      </x:c>
      <x:c r="J16" s="12" t="str">
        <x:v>Review monthly changes of ±0.10 percentage points (pp) or more. Near 100%, prioritize failure counts and target breaches.</x:v>
      </x:c>
      <x:c r="K16" s="12" t="str">
        <x:v>Complete weekly/monthly detail usually requires internal statistics. Leave unavailable values blank in the current public-data-only project.</x:v>
      </x:c>
      <x:c r="L16" s="12" t="str">
        <x:v>Keep the definition of manual intervention consistent. Automatic rejection or erroneous automatic completion is not successful straight-through processing.</x:v>
      </x:c>
      <x:c r="M16" s="16"/>
    </x:row>
    <x:row r="17" ht="39.599998474121094" hidden="0" customHeight="1">
      <x:c r="A17" s="14" t="str">
        <x:v>WIS03</x:v>
      </x:c>
      <x:c r="B17" s="14" t="str">
        <x:v>WIS</x:v>
      </x:c>
      <x:c r="C17" s="14" t="str">
        <x:v>On-time completion rate</x:v>
      </x:c>
      <x:c r="D17" s="14" t="str">
        <x:v>Instructions due in the period; instructions successfully completed within the applicable service deadline; overdue instructions</x:v>
      </x:c>
      <x:c r="E17" s="14" t="str">
        <x:v>Instructions completed on time / instructions due</x:v>
      </x:c>
      <x:c r="F17" s="14" t="str">
        <x:v>%</x:v>
      </x:c>
      <x:c r="G17" s="14" t="str">
        <x:v>Higher is better</x:v>
      </x:c>
      <x:c r="H17" s="14" t="str">
        <x:v>Weekly/monthly</x:v>
      </x:c>
      <x:c r="I17" s="14" t="str">
        <x:v>A higher on-time rate that meets the agreed service target is an improvement. A higher delay rate is negative.</x:v>
      </x:c>
      <x:c r="J17" s="14" t="str">
        <x:v>Review monthly changes of ±0.10 percentage points (pp) or more. Near 100%, prioritize failure counts and target breaches.</x:v>
      </x:c>
      <x:c r="K17" s="14" t="str">
        <x:v>Complete weekly/monthly detail usually requires internal statistics. Leave unavailable values blank in the current public-data-only project.</x:v>
      </x:c>
      <x:c r="L17" s="14" t="str">
        <x:v>Evaluate against each product's own service deadline. Do not apply one equity settlement deadline to all WIS products.</x:v>
      </x:c>
      <x:c r="M17" s="16"/>
    </x:row>
    <x:row r="18" ht="39.599998474121094" hidden="0" customHeight="1">
      <x:c r="A18" s="12" t="str">
        <x:v>ITP01</x:v>
      </x:c>
      <x:c r="B18" s="12" t="str">
        <x:v>ITP</x:v>
      </x:c>
      <x:c r="C18" s="12" t="str">
        <x:v>Trade affirmation rate before the cutoff</x:v>
      </x:c>
      <x:c r="D18" s="12" t="str">
        <x:v>Total applicable trades; trades affirmed before the applicable cutoff</x:v>
      </x:c>
      <x:c r="E18" s="12" t="str">
        <x:v>Trades affirmed before the cutoff / applicable trades</x:v>
      </x:c>
      <x:c r="F18" s="12" t="str">
        <x:v>%</x:v>
      </x:c>
      <x:c r="G18" s="12" t="str">
        <x:v>Higher is better</x:v>
      </x:c>
      <x:c r="H18" s="12" t="str">
        <x:v>Collect daily; aggregate weekly/monthly</x:v>
      </x:c>
      <x:c r="I18" s="12" t="str">
        <x:v>A higher affirmation rate before the cutoff is an improvement. Falling below the relevant process target or more late affirmations is negative.</x:v>
      </x:c>
      <x:c r="J18" s="12" t="str">
        <x:v>Review monthly changes of ±0.10 percentage points (pp) or more. Near 100%, prioritize failure counts and target breaches.</x:v>
      </x:c>
      <x:c r="K18" s="12" t="str">
        <x:v>Public ITP/T+1 articles may disclose selected metrics. Confirm the complete history and client scope.</x:v>
      </x:c>
      <x:c r="L18" s="12" t="str">
        <x:v>Affirmation, matching, and settlement are different stages. Applicable U.S. workflows commonly focus on 9 p.m. ET on trade date; other markets follow local rules.</x:v>
      </x:c>
      <x:c r="M18" s="16"/>
    </x:row>
    <x:row r="19" ht="39.599998474121094" hidden="0" customHeight="1">
      <x:c r="A19" s="14" t="str">
        <x:v>ITP02</x:v>
      </x:c>
      <x:c r="B19" s="14" t="str">
        <x:v>ITP</x:v>
      </x:c>
      <x:c r="C19" s="14" t="str">
        <x:v>Automated matching and instruction rate</x:v>
      </x:c>
      <x:c r="D19" s="14" t="str">
        <x:v>Trades successfully matched with settlement instructions sent without manual intervention; total applicable trades</x:v>
      </x:c>
      <x:c r="E19" s="14" t="str">
        <x:v>Trades automatically matched with instructions sent / applicable trades</x:v>
      </x:c>
      <x:c r="F19" s="14" t="str">
        <x:v>%</x:v>
      </x:c>
      <x:c r="G19" s="14" t="str">
        <x:v>Higher is better</x:v>
      </x:c>
      <x:c r="H19" s="14" t="str">
        <x:v>Weekly/monthly</x:v>
      </x:c>
      <x:c r="I19" s="14" t="str">
        <x:v>A higher automated workflow share is an improvement if quality is maintained. A decline signals worsening processing efficiency.</x:v>
      </x:c>
      <x:c r="J19" s="14" t="str">
        <x:v>Review monthly changes of ±0.10 percentage points (pp) or more. Near 100%, prioritize failure counts and target breaches.</x:v>
      </x:c>
      <x:c r="K19" s="14" t="str">
        <x:v>Complete weekly/monthly detail usually requires internal statistics. Leave unavailable values blank in the current public-data-only project.</x:v>
      </x:c>
      <x:c r="L19" s="14" t="str">
        <x:v>Measure the complete workflow. Successful matching alone does not mean affirmation or settlement is complete.</x:v>
      </x:c>
      <x:c r="M19" s="16"/>
    </x:row>
    <x:row r="20" ht="39.599998474121094" hidden="0" customHeight="1">
      <x:c r="A20" s="12" t="str">
        <x:v>ITP03</x:v>
      </x:c>
      <x:c r="B20" s="12" t="str">
        <x:v>ITP</x:v>
      </x:c>
      <x:c r="C20" s="12" t="str">
        <x:v>Active institutions in production</x:v>
      </x:c>
      <x:c r="D20" s="12" t="str">
        <x:v>Distinct institutions that successfully processed at least one production trade in each period; beginning- and end-of-period counts</x:v>
      </x:c>
      <x:c r="E20" s="12" t="str">
        <x:v>Deduplicate using a consistent institution identifier; current-period count / prior-period count minus 1</x:v>
      </x:c>
      <x:c r="F20" s="12" t="str">
        <x:v>Institutions</x:v>
      </x:c>
      <x:c r="G20" s="12" t="str">
        <x:v>Higher, subject to conditions</x:v>
      </x:c>
      <x:c r="H20" s="12" t="str">
        <x:v>Monthly</x:v>
      </x:c>
      <x:c r="I20" s="12" t="str">
        <x:v>More genuinely active production institutions is positive if quality is maintained. Persistent declines signal lower adoption.</x:v>
      </x:c>
      <x:c r="J20" s="12" t="str">
        <x:v>Review month-over-month changes of ±5% or more. This provisional threshold is for initial discussion and requires calibration to historical variability.</x:v>
      </x:c>
      <x:c r="K20" s="12" t="str">
        <x:v>Public sources may provide selected observations; complete weekly/monthly history is unconfirmed. Request public links first.</x:v>
      </x:c>
      <x:c r="L20" s="12" t="str">
        <x:v>Registered institutions, training participants, and test institutions cannot substitute for active institutions in production.</x:v>
      </x:c>
      <x:c r="M20" s="16"/>
    </x:row>
    <x:row r="21" ht="39.599998474121094" hidden="0" customHeight="1">
      <x:c r="A21" s="14" t="str">
        <x:v>AS01</x:v>
      </x:c>
      <x:c r="B21" s="14" t="str">
        <x:v>Asset Services</x:v>
      </x:c>
      <x:c r="C21" s="14" t="str">
        <x:v>Corporate action on-time completion rate</x:v>
      </x:c>
      <x:c r="D21" s="14" t="str">
        <x:v>Interest, dividend and other processing tasks due this period; amounts payable; tasks/amounts completed on time</x:v>
      </x:c>
      <x:c r="E21" s="14" t="str">
        <x:v>Tasks completed on time / tasks due; report the amount-based measure separately</x:v>
      </x:c>
      <x:c r="F21" s="14" t="str">
        <x:v>%</x:v>
      </x:c>
      <x:c r="G21" s="14" t="str">
        <x:v>Higher is better</x:v>
      </x:c>
      <x:c r="H21" s="14" t="str">
        <x:v>Collect daily; aggregate weekly/monthly</x:v>
      </x:c>
      <x:c r="I21" s="14" t="str">
        <x:v>Meeting payment/processing deadlines with few errors is positive; more delayed payments or event processing is negative.</x:v>
      </x:c>
      <x:c r="J21" s="14" t="str">
        <x:v>Review monthly changes of ±0.10 percentage points (pp) or more. Near 100%, prioritize failure counts and target breaches.</x:v>
      </x:c>
      <x:c r="K21" s="14" t="str">
        <x:v>Complete weekly/monthly detail usually requires internal statistics. Leave unavailable values blank in the current public-data-only project.</x:v>
      </x:c>
      <x:c r="L21" s="14" t="str">
        <x:v>A public notice without recorded on-time results is only a plan. Separate issuer-related causes from service-processing causes.</x:v>
      </x:c>
      <x:c r="M21" s="16"/>
    </x:row>
    <x:row r="22" ht="39.599998474121094" hidden="0" customHeight="1">
      <x:c r="A22" s="12" t="str">
        <x:v>AS02</x:v>
      </x:c>
      <x:c r="B22" s="12" t="str">
        <x:v>Asset Services</x:v>
      </x:c>
      <x:c r="C22" s="12" t="str">
        <x:v>Processing errors per 10,000 operations</x:v>
      </x:c>
      <x:c r="D22" s="12" t="str">
        <x:v>Distinct processing errors; total processing operations; corrections and compensation, if public</x:v>
      </x:c>
      <x:c r="E22" s="12" t="str">
        <x:v>Errors / total processing operations × 10,000</x:v>
      </x:c>
      <x:c r="F22" s="12" t="str">
        <x:v>Errors per 10,000 operations</x:v>
      </x:c>
      <x:c r="G22" s="12" t="str">
        <x:v>Lower is better</x:v>
      </x:c>
      <x:c r="H22" s="12" t="str">
        <x:v>Weekly/monthly</x:v>
      </x:c>
      <x:c r="I22" s="12" t="str">
        <x:v>A lower error frequency within the same scope is an improvement; an increase or a material payment error is negative.</x:v>
      </x:c>
      <x:c r="J22" s="12" t="str">
        <x:v>Calibrate against historical variability and impact; do not apply a universal percentage threshold to small samples.</x:v>
      </x:c>
      <x:c r="K22" s="12" t="str">
        <x:v>Complete weekly/monthly detail usually requires internal statistics. Leave unavailable values blank in the current public-data-only project.</x:v>
      </x:c>
      <x:c r="L22" s="12" t="str">
        <x:v>Deduplicate notices about the same error. Non-disclosure does not mean zero errors.</x:v>
      </x:c>
      <x:c r="M22" s="16"/>
    </x:row>
    <x:row r="23" ht="39.599998474121094" hidden="0" customHeight="1">
      <x:c r="A23" s="14" t="str">
        <x:v>AS03</x:v>
      </x:c>
      <x:c r="B23" s="14" t="str">
        <x:v>Asset Services</x:v>
      </x:c>
      <x:c r="C23" s="14" t="str">
        <x:v>Net additions to assets in custody</x:v>
      </x:c>
      <x:c r="D23" s="14" t="str">
        <x:v>Opening/closing custody balances; net inflows/outflows; valuation changes; or number of security types in custody</x:v>
      </x:c>
      <x:c r="E23" s="14" t="str">
        <x:v>Balance change = net inflows + valuation changes + other adjustments; assess growth separately using net inflows</x:v>
      </x:c>
      <x:c r="F23" s="14" t="str">
        <x:v>USD; number of security types</x:v>
      </x:c>
      <x:c r="G23" s="14" t="str">
        <x:v>Higher, subject to conditions</x:v>
      </x:c>
      <x:c r="H23" s="14" t="str">
        <x:v>Monthly/quarterly; retain the original public reporting frequency</x:v>
      </x:c>
      <x:c r="I23" s="14" t="str">
        <x:v>Net additions to assets in custody or wider service coverage indicate adoption; valuation gains alone do not establish business improvement.</x:v>
      </x:c>
      <x:c r="J23" s="14" t="str">
        <x:v>Review month-over-month changes of ±5% or more. This provisional threshold is for initial discussion and requires calibration to historical variability.</x:v>
      </x:c>
      <x:c r="K23" s="14" t="str">
        <x:v>Public DTC/annual materials may provide size snapshots; availability of net-flow and price-adjustment breakdowns is unconfirmed.</x:v>
      </x:c>
      <x:c r="L23" s="14" t="str">
        <x:v>Custody balances are stocks: do not sum them across months. They are not DTCC revenue or profit.</x:v>
      </x:c>
      <x:c r="M23" s="16"/>
    </x:row>
    <x:row r="24" ht="39.599998474121094" hidden="0" customHeight="1">
      <x:c r="A24" s="12" t="str">
        <x:v>DAS01</x:v>
      </x:c>
      <x:c r="B24" s="12" t="str">
        <x:v>DAS</x:v>
      </x:c>
      <x:c r="C24" s="12" t="str">
        <x:v>Active participating institutions in production</x:v>
      </x:c>
      <x:c r="D24" s="12" t="str">
        <x:v>Active institutions using live production services; successful business operations; environment labels</x:v>
      </x:c>
      <x:c r="E24" s="12" t="str">
        <x:v>Distinct institutions completing at least one successful live business operation per period</x:v>
      </x:c>
      <x:c r="F24" s="12" t="str">
        <x:v>Institutions</x:v>
      </x:c>
      <x:c r="G24" s="12" t="str">
        <x:v>Higher, subject to conditions</x:v>
      </x:c>
      <x:c r="H24" s="12" t="str">
        <x:v>Monthly</x:v>
      </x:c>
      <x:c r="I24" s="12" t="str">
        <x:v>Greater live adoption with service quality maintained is positive; before launch, assess publicly disclosed milestones.</x:v>
      </x:c>
      <x:c r="J24" s="12" t="str">
        <x:v>Review month-over-month changes of ±5% or more. This provisional threshold is for initial discussion and requires calibration to historical variability.</x:v>
      </x:c>
      <x:c r="K24" s="12" t="str">
        <x:v>Public announcements may describe adoption progress; continuous active-institution statistics are usually not public.</x:v>
      </x:c>
      <x:c r="L24" s="12" t="str">
        <x:v>Working-group members, expressions of partnership interest and test participants are not active production customers. During early adoption, assess absolute additions.</x:v>
      </x:c>
      <x:c r="M24" s="16"/>
    </x:row>
    <x:row r="25" ht="39.599998474121094" hidden="0" customHeight="1">
      <x:c r="A25" s="14" t="str">
        <x:v>DAS02</x:v>
      </x:c>
      <x:c r="B25" s="14" t="str">
        <x:v>DAS</x:v>
      </x:c>
      <x:c r="C25" s="14" t="str">
        <x:v>On-time final completion rate</x:v>
      </x:c>
      <x:c r="D25" s="14" t="str">
        <x:v>Tokenization service/transfer requests due; requests reaching final status within the required time; errors and withdrawals</x:v>
      </x:c>
      <x:c r="E25" s="14" t="str">
        <x:v>Successful final completions on time / requests due for completion</x:v>
      </x:c>
      <x:c r="F25" s="14" t="str">
        <x:v>%</x:v>
      </x:c>
      <x:c r="G25" s="14" t="str">
        <x:v>Higher is better</x:v>
      </x:c>
      <x:c r="H25" s="14" t="str">
        <x:v>Weekly/monthly; applicable after launch</x:v>
      </x:c>
      <x:c r="I25" s="14" t="str">
        <x:v>A high on-time final completion rate that meets the service target is positive; more failures, delays or rollbacks is negative.</x:v>
      </x:c>
      <x:c r="J25" s="14" t="str">
        <x:v>Review monthly changes of ±0.10 percentage points (pp) or more. Near 100%, prioritize failure counts and target breaches.</x:v>
      </x:c>
      <x:c r="K25" s="14" t="str">
        <x:v>Complete weekly/monthly detail usually requires internal statistics. Leave unavailable values blank in the current public-data-only project.</x:v>
      </x:c>
      <x:c r="L25" s="14" t="str">
        <x:v>On-chain initiation, technical execution and final completion with business effect are different stages and must not be conflated.</x:v>
      </x:c>
      <x:c r="M25" s="16"/>
    </x:row>
    <x:row r="26" ht="39.599998474121094" hidden="0" customHeight="1">
      <x:c r="A26" s="12" t="str">
        <x:v>DAS03</x:v>
      </x:c>
      <x:c r="B26" s="12" t="str">
        <x:v>DAS</x:v>
      </x:c>
      <x:c r="C26" s="12" t="str">
        <x:v>Effective assets in production services</x:v>
      </x:c>
      <x:c r="D26" s="12" t="str">
        <x:v>Effective closing asset balance; net additions/redemptions; valuation changes; test-asset labels</x:v>
      </x:c>
      <x:c r="E26" s="12" t="str">
        <x:v>Effective closing asset balance; record net additions and valuation effects separately</x:v>
      </x:c>
      <x:c r="F26" s="12" t="str">
        <x:v>USD; number of assets</x:v>
      </x:c>
      <x:c r="G26" s="12" t="str">
        <x:v>Higher, subject to conditions</x:v>
      </x:c>
      <x:c r="H26" s="12" t="str">
        <x:v>Monthly</x:v>
      </x:c>
      <x:c r="I26" s="12" t="str">
        <x:v>Growth in effective assets with quality maintained indicates improved adoption; asset-price increases alone do not establish improvement.</x:v>
      </x:c>
      <x:c r="J26" s="12" t="str">
        <x:v>Review month-over-month changes of ±5% or more. This provisional threshold is for initial discussion and requires calibration to historical variability.</x:v>
      </x:c>
      <x:c r="K26" s="12" t="str">
        <x:v>Public announcements may provide size snapshots; availability of continuous production data is unconfirmed.</x:v>
      </x:c>
      <x:c r="L26" s="12" t="str">
        <x:v>Exclude test assets. Avoid double-counting the same asset across different rails or wrappers.</x:v>
      </x:c>
      <x:c r="M26" s="16"/>
    </x:row>
    <x:row r="27" ht="39.599998474121094" hidden="0" customHeight="1">
      <x:c r="A27" s="14" t="str">
        <x:v>DDA01</x:v>
      </x:c>
      <x:c r="B27" s="14" t="str">
        <x:v>DDA</x:v>
      </x:c>
      <x:c r="C27" s="14" t="str">
        <x:v>Active production deployments</x:v>
      </x:c>
      <x:c r="D27" s="14" t="str">
        <x:v>Distinct live production deployments; successful operating activity; external-customer/internal-service labels</x:v>
      </x:c>
      <x:c r="E27" s="14" t="str">
        <x:v>Distinct deployments successfully providing production services per period</x:v>
      </x:c>
      <x:c r="F27" s="14" t="str">
        <x:v>Deployments</x:v>
      </x:c>
      <x:c r="G27" s="14" t="str">
        <x:v>Higher, subject to conditions</x:v>
      </x:c>
      <x:c r="H27" s="14" t="str">
        <x:v>Monthly</x:v>
      </x:c>
      <x:c r="I27" s="14" t="str">
        <x:v>More live deployments providing stable services indicate improved adoption; contracts, proofs of concept and tests alone do not count.</x:v>
      </x:c>
      <x:c r="J27" s="14" t="str">
        <x:v>Review month-over-month changes of ±5% or more. This provisional threshold is for initial discussion and requires calibration to historical variability.</x:v>
      </x:c>
      <x:c r="K27" s="14" t="str">
        <x:v>Public technology and partnership announcements may provide leads; availability of complete production-deployment records is unconfirmed.</x:v>
      </x:c>
      <x:c r="L27" s="14" t="str">
        <x:v>Label internal services and external commercial customers separately. Do not add DAS adoption again as independent customer growth.</x:v>
      </x:c>
      <x:c r="M27" s="16"/>
    </x:row>
    <x:row r="28" ht="39.599998474121094" hidden="0" customHeight="1">
      <x:c r="A28" s="12" t="str">
        <x:v>DDA02</x:v>
      </x:c>
      <x:c r="B28" s="12" t="str">
        <x:v>DDA</x:v>
      </x:c>
      <x:c r="C28" s="12" t="str">
        <x:v>Critical service availability</x:v>
      </x:c>
      <x:c r="D28" s="12" t="str">
        <x:v>Minutes in agreed service windows; unplanned unavailable minutes; planned-maintenance rules</x:v>
      </x:c>
      <x:c r="E28" s="12" t="str">
        <x:v>1 − unplanned unavailable minutes / agreed service minutes</x:v>
      </x:c>
      <x:c r="F28" s="12" t="str">
        <x:v>%</x:v>
      </x:c>
      <x:c r="G28" s="12" t="str">
        <x:v>Higher is better</x:v>
      </x:c>
      <x:c r="H28" s="12" t="str">
        <x:v>Collect daily; aggregate weekly/monthly</x:v>
      </x:c>
      <x:c r="I28" s="12" t="str">
        <x:v>Meeting the established service target is satisfactory; lower availability or critical-service outages are negative.</x:v>
      </x:c>
      <x:c r="J28" s="12" t="str">
        <x:v>Use the formal SLA and downtime minutes; do not apply generic 99.9% or 99.99% targets.</x:v>
      </x:c>
      <x:c r="K28" s="12" t="str">
        <x:v>Complete weekly/monthly detail usually requires internal statistics. Leave unavailable values blank in the current public-data-only project.</x:v>
      </x:c>
      <x:c r="L28" s="12" t="str">
        <x:v>Measure availability within agreed service windows. No public incident reports does not mean 100% availability.</x:v>
      </x:c>
      <x:c r="M28" s="16"/>
    </x:row>
    <x:row r="29" ht="39.599998474121094" hidden="0" customHeight="1">
      <x:c r="A29" s="14" t="str">
        <x:v>DDA03</x:v>
      </x:c>
      <x:c r="B29" s="14" t="str">
        <x:v>DDA</x:v>
      </x:c>
      <x:c r="C29" s="14" t="str">
        <x:v>Production request latency, P95</x:v>
      </x:c>
      <x:c r="D29" s="14" t="str">
        <x:v>Production request durations, counts, concurrent load and error rates for the same operation type</x:v>
      </x:c>
      <x:c r="E29" s="14" t="str">
        <x:v>95th percentile of request duration</x:v>
      </x:c>
      <x:c r="F29" s="14" t="str">
        <x:v>ms or s</x:v>
      </x:c>
      <x:c r="G29" s="14" t="str">
        <x:v>Lower is better</x:v>
      </x:c>
      <x:c r="H29" s="14" t="str">
        <x:v>Weekly/monthly</x:v>
      </x:c>
      <x:c r="I29" s="14" t="str">
        <x:v>Lower latency at the same load with success rates maintained is an improvement; higher latency or an SLA breach is negative.</x:v>
      </x:c>
      <x:c r="J29" s="14" t="str">
        <x:v>Review month-over-month changes of ±5% or more. This provisional threshold is for initial discussion and requires calibration to historical variability.</x:v>
      </x:c>
      <x:c r="K29" s="14" t="str">
        <x:v>Complete weekly/monthly detail usually requires internal statistics. Leave unavailable values blank in the current public-data-only project.</x:v>
      </x:c>
      <x:c r="L29" s="14" t="str">
        <x:v>Separate on-chain confirmation time from application processing time. Compare at similar loads and for similar operation types.</x:v>
      </x:c>
      <x:c r="M29" s="16"/>
    </x:row>
    <x:row r="30" ht="39.599998474121094" hidden="0" customHeight="1">
      <x:c r="A30" s="12" t="str">
        <x:v>DATA01</x:v>
      </x:c>
      <x:c r="B30" s="12" t="str">
        <x:v>Data Services</x:v>
      </x:c>
      <x:c r="C30" s="12" t="str">
        <x:v>Paid-customer renewal rate for contracts due</x:v>
      </x:c>
      <x:c r="D30" s="12" t="str">
        <x:v>Paid customers due for renewal; customers completing renewal; reporting period</x:v>
      </x:c>
      <x:c r="E30" s="12" t="str">
        <x:v>Customers completing renewal / customers due for renewal</x:v>
      </x:c>
      <x:c r="F30" s="12" t="str">
        <x:v>%</x:v>
      </x:c>
      <x:c r="G30" s="12" t="str">
        <x:v>Higher is better</x:v>
      </x:c>
      <x:c r="H30" s="12" t="str">
        <x:v>Monthly/quarterly; use a rolling 12 months for small samples</x:v>
      </x:c>
      <x:c r="I30" s="12" t="str">
        <x:v>A higher renewal rate in comparable renewal cohorts indicates improved customer value; a decline may signal product appeal or service issues.</x:v>
      </x:c>
      <x:c r="J30" s="12" t="str">
        <x:v>Calibrate by renewal cohort and historical noise; do not automatically apply a monthly ±0.10 pp threshold.</x:v>
      </x:c>
      <x:c r="K30" s="12" t="str">
        <x:v>Complete weekly/monthly detail usually requires internal statistics. Leave unavailable values blank in the current public-data-only project.</x:v>
      </x:c>
      <x:c r="L30" s="12" t="str">
        <x:v>Exclude customers not yet due for renewal from the denominator. With no customers due, mark as not applicable, not 0%.</x:v>
      </x:c>
      <x:c r="M30" s="16"/>
    </x:row>
    <x:row r="31" ht="39.599998474121094" hidden="0" customHeight="1">
      <x:c r="A31" s="14" t="str">
        <x:v>DATA02</x:v>
      </x:c>
      <x:c r="B31" s="14" t="str">
        <x:v>Data Services</x:v>
      </x:c>
      <x:c r="C31" s="14" t="str">
        <x:v>On-time delivery rate</x:v>
      </x:c>
      <x:c r="D31" s="14" t="str">
        <x:v>Data batches/files/API updates due under agreed schedules; deliveries completed on time</x:v>
      </x:c>
      <x:c r="E31" s="14" t="str">
        <x:v>Deliveries completed on time / total deliveries due</x:v>
      </x:c>
      <x:c r="F31" s="14" t="str">
        <x:v>%</x:v>
      </x:c>
      <x:c r="G31" s="14" t="str">
        <x:v>Higher is better</x:v>
      </x:c>
      <x:c r="H31" s="14" t="str">
        <x:v>Collect daily; aggregate weekly/monthly</x:v>
      </x:c>
      <x:c r="I31" s="14" t="str">
        <x:v>Meeting product-update or delivery targets is positive; more late or missed deliveries is negative.</x:v>
      </x:c>
      <x:c r="J31" s="14" t="str">
        <x:v>Review monthly changes of ±0.10 percentage points (pp) or more. Near 100%, prioritize failure counts and target breaches.</x:v>
      </x:c>
      <x:c r="K31" s="14" t="str">
        <x:v>Complete weekly/monthly detail usually requires internal statistics. Leave unavailable values blank in the current public-data-only project.</x:v>
      </x:c>
      <x:c r="L31" s="14" t="str">
        <x:v>Separate data products with different frequencies. Record upstream market-data delays and platform delays separately.</x:v>
      </x:c>
      <x:c r="M31" s="16"/>
    </x:row>
    <x:row r="32" ht="39.599998474121094" hidden="0" customHeight="1">
      <x:c r="A32" s="12" t="str">
        <x:v>DATA03</x:v>
      </x:c>
      <x:c r="B32" s="12" t="str">
        <x:v>Data Services</x:v>
      </x:c>
      <x:c r="C32" s="12" t="str">
        <x:v>Erroneous data record rate</x:v>
      </x:c>
      <x:c r="D32" s="12" t="str">
        <x:v>Total records delivered within the applicable scope; distinct erroneous records; corrections and missingness</x:v>
      </x:c>
      <x:c r="E32" s="12" t="str">
        <x:v>Erroneous records / total records delivered within the applicable scope</x:v>
      </x:c>
      <x:c r="F32" s="12" t="str">
        <x:v>%</x:v>
      </x:c>
      <x:c r="G32" s="12" t="str">
        <x:v>Lower is better</x:v>
      </x:c>
      <x:c r="H32" s="12" t="str">
        <x:v>Weekly/monthly</x:v>
      </x:c>
      <x:c r="I32" s="12" t="str">
        <x:v>A lower error rate on a consistent basis is an improvement; more errors, corrections or missing data is negative.</x:v>
      </x:c>
      <x:c r="J32" s="12" t="str">
        <x:v>Review monthly changes of ±0.10 percentage points (pp) or more. Near 100%, prioritize failure counts and target breaches.</x:v>
      </x:c>
      <x:c r="K32" s="12" t="str">
        <x:v>Complete weekly/monthly detail usually requires internal statistics. Leave unavailable values blank in the current public-data-only project.</x:v>
      </x:c>
      <x:c r="L32" s="12" t="str">
        <x:v>Normal version updates are not errors. Track timeliness and completeness separately; a low error rate does not guarantee commercial value.</x:v>
      </x:c>
      <x:c r="M32" s="16"/>
    </x:row>
    <x:row r="33" ht="39.599998474121094" hidden="0" customHeight="1">
      <x:c r="A33" s="14" t="str">
        <x:v>CONS01</x:v>
      </x:c>
      <x:c r="B33" s="14" t="str">
        <x:v>Consulting</x:v>
      </x:c>
      <x:c r="C33" s="14" t="str">
        <x:v>On-time project acceptance rate</x:v>
      </x:c>
      <x:c r="D33" s="14" t="str">
        <x:v>Projects due this period; projects accepted within the agreed scope and deadline; formally revised deadlines</x:v>
      </x:c>
      <x:c r="E33" s="14" t="str">
        <x:v>Projects accepted on time and within scope / projects due this period</x:v>
      </x:c>
      <x:c r="F33" s="14" t="str">
        <x:v>%</x:v>
      </x:c>
      <x:c r="G33" s="14" t="str">
        <x:v>Higher is better</x:v>
      </x:c>
      <x:c r="H33" s="14" t="str">
        <x:v>Monthly/quarterly</x:v>
      </x:c>
      <x:c r="I33" s="14" t="str">
        <x:v>On-time acceptance within the agreed scope is positive; delays or unmet acceptance conditions are negative.</x:v>
      </x:c>
      <x:c r="J33" s="14" t="str">
        <x:v>Calibrate by project count and history. For few projects, report the count meeting targets rather than applying a generic threshold.</x:v>
      </x:c>
      <x:c r="K33" s="14" t="str">
        <x:v>Complete weekly/monthly detail usually requires internal statistics. Leave unavailable values blank in the current public-data-only project.</x:v>
      </x:c>
      <x:c r="L33" s="14" t="str">
        <x:v>Use the current scope and deadline agreed by both parties. Reduced scope must not be treated as improved efficiency.</x:v>
      </x:c>
      <x:c r="M33" s="16"/>
    </x:row>
    <x:row r="34" ht="39.599998474121094" hidden="0" customHeight="1">
      <x:c r="A34" s="12" t="str">
        <x:v>CONS02</x:v>
      </x:c>
      <x:c r="B34" s="12" t="str">
        <x:v>Consulting</x:v>
      </x:c>
      <x:c r="C34" s="12" t="str">
        <x:v>Repeat-purchase rate among completed-project clients</x:v>
      </x:c>
      <x:c r="D34" s="12" t="str">
        <x:v>Clients with completed prior projects; clients purchasing new projects within a fixed observation window</x:v>
      </x:c>
      <x:c r="E34" s="12" t="str">
        <x:v>Repeat-purchase clients within the observation window / eligible prior clients</x:v>
      </x:c>
      <x:c r="F34" s="12" t="str">
        <x:v>%</x:v>
      </x:c>
      <x:c r="G34" s="12" t="str">
        <x:v>Higher is better</x:v>
      </x:c>
      <x:c r="H34" s="12" t="str">
        <x:v>Update monthly/quarterly; fixed 12-month observation window</x:v>
      </x:c>
      <x:c r="I34" s="12" t="str">
        <x:v>A higher repeat-purchase rate in comparable client cohorts indicates improved ongoing value; interpret declines in light of one-off regulatory projects.</x:v>
      </x:c>
      <x:c r="J34" s="12" t="str">
        <x:v>Calibrate using a fixed client cohort and window; do not compare monthly figures with different observation periods.</x:v>
      </x:c>
      <x:c r="K34" s="12" t="str">
        <x:v>Complete weekly/monthly detail usually requires internal statistics. Leave unavailable values blank in the current public-data-only project.</x:v>
      </x:c>
      <x:c r="L34" s="12" t="str">
        <x:v>Regulatory implementation projects may be one-off by design; few repeat purchases do not automatically demonstrate poor service.</x:v>
      </x:c>
      <x:c r="M34" s="16"/>
    </x:row>
    <x:row r="35" ht="39.599998474121094" hidden="0" customHeight="1">
      <x:c r="A35" s="14" t="str">
        <x:v>CONS03</x:v>
      </x:c>
      <x:c r="B35" s="14" t="str">
        <x:v>Consulting</x:v>
      </x:c>
      <x:c r="C35" s="14" t="str">
        <x:v>Verifiable client outcome attainment rate</x:v>
      </x:c>
      <x:c r="D35" s="14" t="str">
        <x:v>Pre-agreed outcome items due; verified outcomes achieved; baselines and verification evidence</x:v>
      </x:c>
      <x:c r="E35" s="14" t="str">
        <x:v>Verified outcome items achieved / outcome items due</x:v>
      </x:c>
      <x:c r="F35" s="14" t="str">
        <x:v>%</x:v>
      </x:c>
      <x:c r="G35" s="14" t="str">
        <x:v>Higher is better</x:v>
      </x:c>
      <x:c r="H35" s="14" t="str">
        <x:v>By project; aggregate monthly/quarterly</x:v>
      </x:c>
      <x:c r="I35" s="14" t="str">
        <x:v>A high attainment rate for agreed outcomes is positive, such as fewer reporting errors or preparation milestones completed on time.</x:v>
      </x:c>
      <x:c r="J35" s="14" t="str">
        <x:v>Assess against project targets. Retain qualitative satisfaction separately; it does not replace verifiable outcomes.</x:v>
      </x:c>
      <x:c r="K35" s="14" t="str">
        <x:v>Complete weekly/monthly detail usually requires internal statistics. Leave unavailable values blank in the current public-data-only project.</x:v>
      </x:c>
      <x:c r="L35" s="14" t="str">
        <x:v>Rule changes and client execution capabilities affect outcomes. Define outcomes before the project begins.</x:v>
      </x:c>
      <x:c r="M35" s="16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8" customHeight="1">
      <x:c r="A37" s="15" t="str">
        <x:v>Provisional thresholds support discussion and prototyping; they are not official DTCC standards. Business-owner targets, regulatory/service requirements and historical variability take priority.</x:v>
      </x:c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</x:row>
    <x:row r="38" ht="28" customHeight="1">
      <x:c r="A38" s="15" t="str">
        <x:v>Request both numerator and denominator for every rate. Keep product, geography, jurisdiction, production/test environment and cutoff definitions consistent.</x:v>
      </x:c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</x:row>
    <x:row r="39" ht="28" customHeight="1">
      <x:c r="A39" s="15" t="str">
        <x:v>The project permits public data only. Internal metrics are a future extension; unavailable actual outcomes cannot be treated as observed labels in the current project.</x:v>
      </x:c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15" hidden="0" customHeight="1">
      <x:c r="A42" s="6" t="str">
        <x:v>Reference ID</x:v>
      </x:c>
      <x:c r="B42" s="6" t="str">
        <x:v>Source</x:v>
      </x:c>
      <x:c r="C42" s="6" t="str">
        <x:v>Support and limitations</x:v>
      </x:c>
      <x:c r="D42" s="6" t="str">
        <x:v>File or link</x:v>
      </x:c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39.599998474121094" hidden="0" customHeight="1">
      <x:c r="A43" s="4" t="str">
        <x:v>S1</x:v>
      </x:c>
      <x:c r="B43" s="4" t="str">
        <x:v>Project kickoff</x:v>
      </x:c>
      <x:c r="C43" s="4" t="str">
        <x:v>Slide 9 lists the ten business lines; slides 11–20 describe them; slide 21 requires public data only.</x:v>
      </x:c>
      <x:c r="D43" s="18" t="str">
        <x:v>DTCC_Duke_Capstone_Kickoff - Share.pptx</x:v>
      </x:c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52.79999923706055" hidden="0" customHeight="1">
      <x:c r="A44" s="4" t="str">
        <x:v>S2</x:v>
      </x:c>
      <x:c r="B44" s="4" t="str">
        <x:v>Project requirements</x:v>
      </x:c>
      <x:c r="C44" s="4" t="str">
        <x:v>Opening “Important boundary” and SL-8. Internal data are for future integration; missing public data remain unknown.</x:v>
      </x:c>
      <x:c r="D44" s="18" t="str">
        <x:v>DTCC_Duke_Capstone_Requirements - Share.docx</x:v>
      </x:c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39.599998474121094" hidden="0" customHeight="1">
      <x:c r="A45" s="4" t="str">
        <x:v>S3</x:v>
      </x:c>
      <x:c r="B45" s="4" t="str">
        <x:v>BIS PFMI</x:v>
      </x:c>
      <x:c r="C45" s="4" t="str">
        <x:v>Principle 6 covers margin, 7 liquidity, 17 reliability and recovery, and 21 efficiency.</x:v>
      </x:c>
      <x:c r="D45" s="18" t="str">
        <x:v>https://www.bis.org/committees/cpmi/pfmi/overview</x:v>
      </x:c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39.599998474121094" hidden="0" customHeight="1">
      <x:c r="A46" s="4" t="str">
        <x:v>S4</x:v>
      </x:c>
      <x:c r="B46" s="4" t="str">
        <x:v>DTCC Financial Risk Management</x:v>
      </x:c>
      <x:c r="C46" s="4" t="str">
        <x:v>Public descriptions of FICC/NSCC margin, risk monitoring and FICC liquidity safeguards.</x:v>
      </x:c>
      <x:c r="D46" s="18" t="str">
        <x:v>https://www.dtcc.com/about/protecting-the-markets/managing-risk/financial-risk-management</x:v>
      </x:c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52.79999923706055" hidden="0" customHeight="1">
      <x:c r="A47" s="4" t="str">
        <x:v>S5</x:v>
      </x:c>
      <x:c r="B47" s="4" t="str">
        <x:v>DTCC RDS product page</x:v>
      </x:c>
      <x:c r="C47" s="4" t="str">
        <x:v>Business scope and estimated market-share snapshots; these are not a continuous monthly market-share series.</x:v>
      </x:c>
      <x:c r="D47" s="18" t="str">
        <x:v>https://www.dtcc.com/products-and-services/repository-derivatives-services</x:v>
      </x:c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52.79999923706055" hidden="0" customHeight="1">
      <x:c r="A48" s="4" t="str">
        <x:v>S6</x:v>
      </x:c>
      <x:c r="B48" s="4" t="str">
        <x:v>DTCC public ITP guidance</x:v>
      </x:c>
      <x:c r="C48" s="4" t="str">
        <x:v>Affirmation cutoffs and future-dated affirmation arrangements for relevant U.S. workflows; not applicable to every market.</x:v>
      </x:c>
      <x:c r="D48" s="18" t="str">
        <x:v>https://www.dtcc.com/insights/2026/impact-of-24x5-trading-on-t1-confirmations</x:v>
      </x:c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66" hidden="0" customHeight="1">
      <x:c r="A49" s="28" t="str">
        <x:v>S7</x:v>
      </x:c>
      <x:c r="B49" s="28" t="str">
        <x:v>BIS CCP quantitative disclosure guidance</x:v>
      </x:c>
      <x:c r="C49" s="28" t="str">
        <x:v>Public CCP quantitative disclosures are commonly quarterly and use different observation windows; do not treat them as independent weekly/monthly observations.</x:v>
      </x:c>
      <x:c r="D49" s="29" t="str">
        <x:v>https://www.bis.org/publications/qr-202312/liquid-assets-ccps-and-systemic-liquidity-risks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47A9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18" hidden="0" customWidth="1"/>
    <x:col min="5" max="5" width="23" hidden="0" customWidth="1"/>
    <x:col min="6" max="6" width="21" hidden="0" customWidth="1"/>
    <x:col min="7" max="7" width="25" hidden="0" customWidth="1"/>
    <x:col min="8" max="8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Quantifying Weekly or Monthly Changes</x:v>
      </x:c>
      <x:c r="B2" s="2"/>
      <x:c r="C2" s="2"/>
      <x:c r="D2" s="2"/>
      <x:c r="E2" s="2"/>
      <x:c r="F2" s="2"/>
      <x:c r="G2" s="2"/>
      <x:c r="H2" s="2"/>
    </x:row>
    <x:row r="3" ht="26" customHeight="1">
      <x:c r="A3" s="2" t="str">
        <x:v>Enter values in yellow cells. Prior and current periods must use the same frequency and scope. No actual DTCC data are entered here.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26.399999618530273" hidden="0" customHeight="1">
      <x:c r="A7" s="8" t="str">
        <x:v>Metric</x:v>
      </x:c>
      <x:c r="B7" s="9" t="str">
        <x:v>Direction: 1 higher / −1 lower</x:v>
      </x:c>
      <x:c r="C7" s="9" t="str">
        <x:v>Prior period</x:v>
      </x:c>
      <x:c r="D7" s="9" t="str">
        <x:v>Current period</x:v>
      </x:c>
      <x:c r="E7" s="9" t="str">
        <x:v>Change</x:v>
      </x:c>
      <x:c r="F7" s="9" t="str">
        <x:v>Change type</x:v>
      </x:c>
      <x:c r="G7" s="9" t="str">
        <x:v>Material-change threshold</x:v>
      </x:c>
      <x:c r="H7" s="10" t="str">
        <x:v>Change status</x:v>
      </x:c>
    </x:row>
    <x:row r="8" ht="26.399999618530273" hidden="0" customHeight="1">
      <x:c r="A8" s="12" t="str">
        <x:v>Business volume (period-over-period)</x:v>
      </x:c>
      <x:c r="B8" s="12" t="n">
        <x:v>1</x:v>
      </x:c>
      <x:c r="C8" s="16"/>
      <x:c r="D8" s="16"/>
      <x:c r="E8" s="21" t="str">
        <x:f>IF(OR(NOT(ISNUMBER(C8)),NOT(ISNUMBER(D8))),"",IF(C8=0,"Zero baseline",(D8-C8)/ABS(C8)))</x:f>
      </x:c>
      <x:c r="F8" s="12" t="str">
        <x:v>Relative change</x:v>
      </x:c>
      <x:c r="G8" s="20" t="n">
        <x:v>0.05</x:v>
      </x:c>
      <x:c r="H8" s="12" t="str">
        <x:f>IF(OR(NOT(ISNUMBER(C8)),NOT(ISNUMBER(D8))),"Enter numeric values",IF(NOT(ISNUMBER(E8)),"Not comparable",IF(E8*B8&gt;=G8,"Improved",IF(E8*B8&lt;=-G8,"Deteriorated","Below change threshold"))))</x:f>
        <x:v>Enter numeric values</x:v>
      </x:c>
    </x:row>
    <x:row r="9" ht="15" hidden="0" customHeight="1">
      <x:c r="A9" s="14" t="str">
        <x:v>On-time success rate</x:v>
      </x:c>
      <x:c r="B9" s="14" t="n">
        <x:v>1</x:v>
      </x:c>
      <x:c r="C9" s="20"/>
      <x:c r="D9" s="20"/>
      <x:c r="E9" s="23" t="str">
        <x:f>IF(OR(NOT(ISNUMBER(C9)),NOT(ISNUMBER(D9))),"",ROUND((D9-C9)*100,10))</x:f>
      </x:c>
      <x:c r="F9" s="14" t="str">
        <x:v>Percentage-point change</x:v>
      </x:c>
      <x:c r="G9" s="25" t="n">
        <x:v>0.1</x:v>
      </x:c>
      <x:c r="H9" s="14" t="str">
        <x:f>IF(OR(NOT(ISNUMBER(C9)),NOT(ISNUMBER(D9))),"Enter numeric values",IF(NOT(ISNUMBER(E9)),"Not comparable",IF(E9*B9&gt;=G9,"Improved",IF(E9*B9&lt;=-G9,"Deteriorated","Below change threshold"))))</x:f>
        <x:v>Enter numeric values</x:v>
      </x:c>
    </x:row>
    <x:row r="10" ht="15" hidden="0" customHeight="1">
      <x:c r="A10" s="12" t="str">
        <x:v>Error rate</x:v>
      </x:c>
      <x:c r="B10" s="12" t="n">
        <x:v>-1</x:v>
      </x:c>
      <x:c r="C10" s="20"/>
      <x:c r="D10" s="20"/>
      <x:c r="E10" s="24" t="str">
        <x:f>IF(OR(NOT(ISNUMBER(C10)),NOT(ISNUMBER(D10))),"",ROUND((D10-C10)*100,10))</x:f>
      </x:c>
      <x:c r="F10" s="12" t="str">
        <x:v>Percentage-point change</x:v>
      </x:c>
      <x:c r="G10" s="25" t="n">
        <x:v>0.1</x:v>
      </x:c>
      <x:c r="H10" s="12" t="str">
        <x:f>IF(OR(NOT(ISNUMBER(C10)),NOT(ISNUMBER(D10))),"Enter numeric values",IF(NOT(ISNUMBER(E10)),"Not comparable",IF(E10*B10&gt;=G10,"Improved",IF(E10*B10&lt;=-G10,"Deteriorated","Below change threshold"))))</x:f>
        <x:v>Enter numeric values</x:v>
      </x:c>
    </x:row>
    <x:row r="11" ht="15" hidden="0" customHeight="1">
      <x:c r="A11" s="14" t="str">
        <x:v>Latency / unit cost</x:v>
      </x:c>
      <x:c r="B11" s="14" t="n">
        <x:v>-1</x:v>
      </x:c>
      <x:c r="C11" s="16"/>
      <x:c r="D11" s="16"/>
      <x:c r="E11" s="22" t="str">
        <x:f>IF(OR(NOT(ISNUMBER(C11)),NOT(ISNUMBER(D11))),"",IF(C11=0,"Zero baseline",(D11-C11)/ABS(C11)))</x:f>
      </x:c>
      <x:c r="F11" s="14" t="str">
        <x:v>Relative change</x:v>
      </x:c>
      <x:c r="G11" s="20" t="n">
        <x:v>0.05</x:v>
      </x:c>
      <x:c r="H11" s="14" t="str">
        <x:f>IF(OR(NOT(ISNUMBER(C11)),NOT(ISNUMBER(D11))),"Enter numeric values",IF(NOT(ISNUMBER(E11)),"Not comparable",IF(E11*B11&gt;=G11,"Improved",IF(E11*B11&lt;=-G11,"Deteriorated","Below change threshold"))))</x:f>
        <x:v>Enter numeric values</x:v>
      </x:c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30" customHeight="1">
      <x:c r="A14" s="27" t="str">
        <x:v>Comparison method</x:v>
      </x:c>
      <x:c r="B14" s="27" t="str">
        <x:v>Guidance</x:v>
      </x:c>
      <x:c r="C14" s="2"/>
      <x:c r="D14" s="2"/>
      <x:c r="E14" s="2"/>
      <x:c r="F14" s="2"/>
      <x:c r="G14" s="2"/>
      <x:c r="H14" s="2"/>
    </x:row>
    <x:row r="15" ht="26.399999618530273" hidden="0" customHeight="1">
      <x:c r="A15" s="4" t="str">
        <x:v>Weekly/monthly period-over-period</x:v>
      </x:c>
      <x:c r="B15" s="15" t="str">
        <x:v>(Current − prior) / prior. Use relative changes for amounts, counts and latency. When the prior value is zero, use absolute change.</x:v>
      </x:c>
      <x:c r="C15" s="15"/>
      <x:c r="D15" s="15"/>
      <x:c r="E15" s="15"/>
      <x:c r="F15" s="15"/>
      <x:c r="G15" s="15"/>
      <x:c r="H15" s="15"/>
    </x:row>
    <x:row r="16" ht="15" hidden="0" customHeight="1">
      <x:c r="A16" s="4" t="str">
        <x:v>Rate metrics</x:v>
      </x:c>
      <x:c r="B16" s="15" t="str">
        <x:v>Current rate minus prior rate, expressed in percentage points (pp). Moving from 95% to 96% is a 1 pp increase.</x:v>
      </x:c>
      <x:c r="C16" s="15"/>
      <x:c r="D16" s="15"/>
      <x:c r="E16" s="15"/>
      <x:c r="F16" s="15"/>
      <x:c r="G16" s="15"/>
      <x:c r="H16" s="15"/>
    </x:row>
    <x:row r="17" ht="15" hidden="0" customHeight="1">
      <x:c r="A17" s="4" t="str">
        <x:v>Business-day adjustment</x:v>
      </x:c>
      <x:c r="B17" s="15" t="str">
        <x:v>Convert business volumes and transaction amounts to daily averages before comparing periods with five versus four business days.</x:v>
      </x:c>
      <x:c r="C17" s="15"/>
      <x:c r="D17" s="15"/>
      <x:c r="E17" s="15"/>
      <x:c r="F17" s="15"/>
      <x:c r="G17" s="15"/>
      <x:c r="H17" s="15"/>
    </x:row>
    <x:row r="18" ht="15" hidden="0" customHeight="1">
      <x:c r="A18" s="4" t="str">
        <x:v>Year-over-year and seasonality</x:v>
      </x:c>
      <x:c r="B18" s="15" t="str">
        <x:v>Compare a month with the same month last year. Use consistent week definitions and account for holidays, month-end effects and rule changes.</x:v>
      </x:c>
      <x:c r="C18" s="15"/>
      <x:c r="D18" s="15"/>
      <x:c r="E18" s="15"/>
      <x:c r="F18" s="15"/>
      <x:c r="G18" s="15"/>
      <x:c r="H18" s="15"/>
    </x:row>
    <x:row r="19" ht="15" hidden="0" customHeight="1">
      <x:c r="A19" s="4" t="str">
        <x:v>Relative to the market</x:v>
      </x:c>
      <x:c r="B19" s="15" t="str">
        <x:v>Business growth minus market growth on a comparable basis, expressed as a pp difference. Do not calculate it when market scopes differ.</x:v>
      </x:c>
      <x:c r="C19" s="15"/>
      <x:c r="D19" s="15"/>
      <x:c r="E19" s="15"/>
      <x:c r="F19" s="15"/>
      <x:c r="G19" s="15"/>
      <x:c r="H19" s="15"/>
    </x:row>
    <x:row r="20" ht="15" hidden="0" customHeight="1">
      <x:c r="A20" s="4" t="str">
        <x:v>Meeting absolute targets</x:v>
      </x:c>
      <x:c r="B20" s="15" t="str">
        <x:v>Regulations, service agreements and published model targets take priority. Improvement indicates a trend; meeting the target indicates compliance with that target.</x:v>
      </x:c>
      <x:c r="C20" s="15"/>
      <x:c r="D20" s="15"/>
      <x:c r="E20" s="15"/>
      <x:c r="F20" s="15"/>
      <x:c r="G20" s="15"/>
      <x:c r="H20" s="15"/>
    </x:row>
    <x:row r="21" ht="15" hidden="0" customHeight="1">
      <x:c r="A21" s="4" t="str">
        <x:v>Major issues</x:v>
      </x:c>
      <x:c r="B21" s="15" t="str">
        <x:v>Flag major incidents, insufficient financial safeguards and missed critical deadlines separately. Volume growth cannot offset them in an average score.</x:v>
      </x:c>
      <x:c r="C21" s="15"/>
      <x:c r="D21" s="15"/>
      <x:c r="E21" s="15"/>
      <x:c r="F21" s="15"/>
      <x:c r="G21" s="15"/>
      <x:c r="H21" s="15"/>
    </x:row>
    <x:row r="22" ht="15" hidden="0" customHeight="1">
      <x:c r="A22" s="4" t="str">
        <x:v>Threshold calibration</x:v>
      </x:c>
      <x:c r="B22" s="15" t="str">
        <x:v>The 5% and 0.10 pp thresholds are monthly prototype examples. Calibrate weekly/monthly thresholds separately using historical data, then freeze them for validation.</x:v>
      </x:c>
      <x:c r="C22" s="15"/>
      <x:c r="D22" s="15"/>
      <x:c r="E22" s="15"/>
      <x:c r="F22" s="15"/>
      <x:c r="G22" s="15"/>
      <x:c r="H22" s="15"/>
    </x:row>
    <x:row r="23" ht="15" hidden="0" customHeight="1">
      <x:c r="A23" s="4" t="str">
        <x:v>Initial historical rule</x:v>
      </x:c>
      <x:c r="B23" s="15" t="str">
        <x:v>Historical 10th/90th percentiles of direction-adjusted, seasonally adjusted changes can flag anomalies; they do not establish causation or target attainment.</x:v>
      </x:c>
      <x:c r="C23" s="15"/>
      <x:c r="D23" s="15"/>
      <x:c r="E23" s="15"/>
      <x:c r="F23" s="15"/>
      <x:c r="G23" s="15"/>
      <x:c r="H23" s="15"/>
    </x:row>
    <x:row r="24" ht="15" hidden="0" customHeight="1">
      <x:c r="A24" s="4" t="str">
        <x:v>Small samples</x:v>
      </x:c>
      <x:c r="B24" s="15" t="str">
        <x:v>If failures rise from 1 to 2, also examine total transactions. For low-volume rates, use a longer window or leave the assessment unevaluated.</x:v>
      </x:c>
      <x:c r="C24" s="15"/>
      <x:c r="D24" s="15"/>
      <x:c r="E24" s="15"/>
      <x:c r="F24" s="15"/>
      <x:c r="G24" s="15"/>
      <x:c r="H24" s="15"/>
    </x:row>
    <x:row r="25" ht="15" hidden="0" customHeight="1">
      <x:c r="A25" s="4" t="str">
        <x:v>Actual missingness</x:v>
      </x:c>
      <x:c r="B25" s="15" t="str">
        <x:v>Record unknown, not disclosed and not applicable separately. Suspend performance labels when missingness is high.</x:v>
      </x:c>
      <x:c r="C25" s="15"/>
      <x:c r="D25" s="15"/>
      <x:c r="E25" s="15"/>
      <x:c r="F25" s="15"/>
      <x:c r="G25" s="15"/>
      <x:c r="H25" s="15"/>
    </x:row>
    <x:row r="26" ht="15" hidden="0" customHeight="1">
      <x:c r="A26" s="4" t="str">
        <x:v>Public release schedule</x:v>
      </x:c>
      <x:c r="B26" s="15" t="str">
        <x:v>Known status may be updated weekly. Before new quarterly data are released, do not claim that a new observation occurred each week.</x:v>
      </x:c>
      <x:c r="C26" s="15"/>
      <x:c r="D26" s="15"/>
      <x:c r="E26" s="15"/>
      <x:c r="F26" s="15"/>
      <x:c r="G26" s="15"/>
      <x:c r="H26" s="15"/>
    </x:row>
    <x:row r="27" ht="15" hidden="0" customHeight="1">
      <x:c r="A27" s="4" t="str">
        <x:v>Historical window</x:v>
      </x:c>
      <x:c r="B27" s="15" t="str">
        <x:v>Ask for available series covering the past 3–5 years. Even 36–60 monthly observations are a small sample and do not guarantee that complex models can be trained.</x:v>
      </x:c>
      <x:c r="C27" s="15"/>
      <x:c r="D27" s="15"/>
      <x:c r="E27" s="15"/>
      <x:c r="F27" s="15"/>
      <x:c r="G27" s="15"/>
      <x:c r="H27" s="15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conditionalFormatting sqref="H8:H11">
    <x:cfRule type="expression" dxfId="2" priority="1">
      <x:formula>H8="Deteriorated"</x:formula>
    </x:cfRule>
    <x:cfRule type="expression" dxfId="3" priority="2">
      <x:formula>H8="Improved"</x:formula>
    </x:cfRule>
  </x:conditionalFormatting>
  <x:dataValidations count="2">
    <x:dataValidation type="decimal" operator="greaterThanOrEqual" sqref="C8:D8">
      <x:formula1>0</x:formula1>
    </x:dataValidation>
    <x:dataValidation type="decimal" operator="between" sqref="C9:D10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64" hidden="0" customWidth="1"/>
    <x:col min="3" max="3" width="27" hidden="0" customWidth="1"/>
    <x:col min="4" max="4" width="64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Fields to Retain for Machine Learning</x:v>
      </x:c>
      <x:c r="B2" s="2"/>
      <x:c r="C2" s="2"/>
      <x:c r="D2" s="2"/>
    </x:row>
    <x:row r="3" ht="26" customHeight="1">
      <x:c r="A3" s="2" t="str">
        <x:v>Each record is an actual value for one metric, one business line and one observation period. Store news features separately from future outcomes.</x:v>
      </x:c>
      <x:c r="B3" s="2"/>
      <x:c r="C3" s="2"/>
      <x:c r="D3" s="2"/>
    </x:row>
    <x:row r="4">
      <x:c r="A4" s="2"/>
      <x:c r="B4" s="2"/>
      <x:c r="C4" s="2"/>
      <x:c r="D4" s="2"/>
    </x:row>
    <x:row r="5" ht="15" hidden="0" customHeight="1">
      <x:c r="A5" s="8" t="str">
        <x:v>Field</x:v>
      </x:c>
      <x:c r="B5" s="9" t="str">
        <x:v>Meaning</x:v>
      </x:c>
      <x:c r="C5" s="9" t="str">
        <x:v>When required</x:v>
      </x:c>
      <x:c r="D5" s="10" t="str">
        <x:v>Usage limits</x:v>
      </x:c>
    </x:row>
    <x:row r="6" ht="15" hidden="0" customHeight="1">
      <x:c r="A6" s="12" t="str">
        <x:v>business_line</x:v>
      </x:c>
      <x:c r="B6" s="12" t="str">
        <x:v>One of the ten business lines, using a fixed name.</x:v>
      </x:c>
      <x:c r="C6" s="12" t="str">
        <x:v>Required</x:v>
      </x:c>
      <x:c r="D6" s="12" t="str">
        <x:v>FICC and ECS are different businesses; do not force a common label.</x:v>
      </x:c>
    </x:row>
    <x:row r="7" ht="15" hidden="0" customHeight="1">
      <x:c r="A7" s="14" t="str">
        <x:v>metric_id</x:v>
      </x:c>
      <x:c r="B7" s="14" t="str">
        <x:v>Matches the metric ID in the data request checklist.</x:v>
      </x:c>
      <x:c r="C7" s="14" t="str">
        <x:v>Required</x:v>
      </x:c>
      <x:c r="D7" s="14" t="str">
        <x:v>Keep definitions and units consistent across periods.</x:v>
      </x:c>
    </x:row>
    <x:row r="8" ht="15" hidden="0" customHeight="1">
      <x:c r="A8" s="12" t="str">
        <x:v>period_start / period_end</x:v>
      </x:c>
      <x:c r="B8" s="12" t="str">
        <x:v>Start and end dates of the actual observation period.</x:v>
      </x:c>
      <x:c r="C8" s="12" t="str">
        <x:v>Required</x:v>
      </x:c>
      <x:c r="D8" s="12" t="str">
        <x:v>Retain the source’s actual annual, quarterly, monthly or weekly frequency.</x:v>
      </x:c>
    </x:row>
    <x:row r="9" ht="26.399999618530273" hidden="0" customHeight="1">
      <x:c r="A9" s="14" t="str">
        <x:v>frequency</x:v>
      </x:c>
      <x:c r="B9" s="14" t="str">
        <x:v>The source’s actual frequency, not the program’s run frequency.</x:v>
      </x:c>
      <x:c r="C9" s="14" t="str">
        <x:v>Required</x:v>
      </x:c>
      <x:c r="D9" s="14" t="str">
        <x:v>Daily/weekly/monthly/quarterly/annual/event-based. Do not duplicate quarterly values into monthly samples.</x:v>
      </x:c>
    </x:row>
    <x:row r="10" ht="15" hidden="0" customHeight="1">
      <x:c r="A10" s="12" t="str">
        <x:v>observed_value</x:v>
      </x:c>
      <x:c r="B10" s="12" t="str">
        <x:v>Actual observed value, not an analyst’s estimate.</x:v>
      </x:c>
      <x:c r="C10" s="12" t="str">
        <x:v>Required</x:v>
      </x:c>
      <x:c r="D10" s="12" t="str">
        <x:v>Leave missing values blank; retain a verified zero as 0.</x:v>
      </x:c>
    </x:row>
    <x:row r="11" ht="15" hidden="0" customHeight="1">
      <x:c r="A11" s="14" t="str">
        <x:v>unit</x:v>
      </x:c>
      <x:c r="B11" s="14" t="str">
        <x:v>Store rates as values from 0 to 1; specify currencies for amounts.</x:v>
      </x:c>
      <x:c r="C11" s="14" t="str">
        <x:v>Required</x:v>
      </x:c>
      <x:c r="D11" s="14" t="str">
        <x:v>Relative change, percentage points and basis points are different units.</x:v>
      </x:c>
    </x:row>
    <x:row r="12" ht="15" hidden="0" customHeight="1">
      <x:c r="A12" s="12" t="str">
        <x:v>numerator / denominator</x:v>
      </x:c>
      <x:c r="B12" s="12" t="str">
        <x:v>Numerator and denominator used to calculate a rate.</x:v>
      </x:c>
      <x:c r="C12" s="12" t="str">
        <x:v>Required for rates</x:v>
      </x:c>
      <x:c r="D12" s="12" t="str">
        <x:v>Recalculate aggregate rates; do not average daily percentages.</x:v>
      </x:c>
    </x:row>
    <x:row r="13" ht="15" hidden="0" customHeight="1">
      <x:c r="A13" s="14" t="str">
        <x:v>population / scope</x:v>
      </x:c>
      <x:c r="B13" s="14" t="str">
        <x:v>Product, market, jurisdiction, environment and cutoff.</x:v>
      </x:c>
      <x:c r="C13" s="14" t="str">
        <x:v>Required</x:v>
      </x:c>
      <x:c r="D13" s="14" t="str">
        <x:v>The business total must match the scope of the market denominator.</x:v>
      </x:c>
    </x:row>
    <x:row r="14" ht="15" hidden="0" customHeight="1">
      <x:c r="A14" s="12" t="str">
        <x:v>release_at</x:v>
      </x:c>
      <x:c r="B14" s="12" t="str">
        <x:v>Time and time zone when the source first became publicly available.</x:v>
      </x:c>
      <x:c r="C14" s="12" t="str">
        <x:v>Required</x:v>
      </x:c>
      <x:c r="D14" s="12" t="str">
        <x:v>Models may use only information publicly available before the prediction time.</x:v>
      </x:c>
    </x:row>
    <x:row r="15" ht="15" hidden="0" customHeight="1">
      <x:c r="A15" s="14" t="str">
        <x:v>collected_at</x:v>
      </x:c>
      <x:c r="B15" s="14" t="str">
        <x:v>Actual collection time and time zone.</x:v>
      </x:c>
      <x:c r="C15" s="14" t="str">
        <x:v>Required</x:v>
      </x:c>
      <x:c r="D15" s="14" t="str">
        <x:v>Collection time does not replace the observation period or release date.</x:v>
      </x:c>
    </x:row>
    <x:row r="16" ht="15" hidden="0" customHeight="1">
      <x:c r="A16" s="12" t="str">
        <x:v>source_url / source_id</x:v>
      </x:c>
      <x:c r="B16" s="12" t="str">
        <x:v>Public source and traceable source identifier.</x:v>
      </x:c>
      <x:c r="C16" s="12" t="str">
        <x:v>Required</x:v>
      </x:c>
      <x:c r="D16" s="12" t="str">
        <x:v>Every actual value must be traceable to the original text or public table.</x:v>
      </x:c>
    </x:row>
    <x:row r="17" ht="15" hidden="0" customHeight="1">
      <x:c r="A17" s="14" t="str">
        <x:v>revision_id / vintage</x:v>
      </x:c>
      <x:c r="B17" s="14" t="str">
        <x:v>Data version and its public release time.</x:v>
      </x:c>
      <x:c r="C17" s="14" t="str">
        <x:v>When applicable</x:v>
      </x:c>
      <x:c r="D17" s="14" t="str">
        <x:v>Backtests must retain the version available at the time; do not use later revisions.</x:v>
      </x:c>
    </x:row>
    <x:row r="18" ht="15" hidden="0" customHeight="1">
      <x:c r="A18" s="12" t="str">
        <x:v>missing_reason</x:v>
      </x:c>
      <x:c r="B18" s="12" t="str">
        <x:v>Not disclosed, unavailable, not applicable or awaiting verification.</x:v>
      </x:c>
      <x:c r="C18" s="12" t="str">
        <x:v>Required when missing</x:v>
      </x:c>
      <x:c r="D18" s="12" t="str">
        <x:v>An absence of news is not evidence of zero incidents.</x:v>
      </x:c>
    </x:row>
    <x:row r="19" ht="15" hidden="0" customHeight="1">
      <x:c r="A19" s="14" t="str">
        <x:v>target_value / target_source</x:v>
      </x:c>
      <x:c r="B19" s="14" t="str">
        <x:v>Applicable formal target and source, including its validity period.</x:v>
      </x:c>
      <x:c r="C19" s="14" t="str">
        <x:v>Required for target-attainment labels</x:v>
      </x:c>
      <x:c r="D19" s="14" t="str">
        <x:v>Without a target, report trends or anomalies only.</x:v>
      </x:c>
    </x:row>
    <x:row r="20" ht="15" hidden="0" customHeight="1">
      <x:c r="A20" s="12" t="str">
        <x:v>news_features_at_t</x:v>
      </x:c>
      <x:c r="B20" s="12" t="str">
        <x:v>Events, topics, sources and market indicators known at prediction time.</x:v>
      </x:c>
      <x:c r="C20" s="12" t="str">
        <x:v>Prediction inputs</x:v>
      </x:c>
      <x:c r="D20" s="12" t="str">
        <x:v>Deduplicate news; exclude outcomes first released within the prediction window.</x:v>
      </x:c>
    </x:row>
    <x:row r="21" ht="26.399999618530273" hidden="0" customHeight="1">
      <x:c r="A21" s="14" t="str">
        <x:v>outcome_at_t_plus_h</x:v>
      </x:c>
      <x:c r="B21" s="14" t="str">
        <x:v>Actual metric or change observed over the following week/month.</x:v>
      </x:c>
      <x:c r="C21" s="14" t="str">
        <x:v>Supervised-learning target</x:v>
      </x:c>
      <x:c r="D21" s="14" t="str">
        <x:v>Choose one observable target per business. Do not use the model’s own news score as ground truth.</x:v>
      </x:c>
    </x:row>
    <x:row r="22" ht="26.399999618530273" hidden="0" customHeight="1">
      <x:c r="A22" s="12" t="str">
        <x:v>label_rule_version</x:v>
      </x:c>
      <x:c r="B22" s="12" t="str">
        <x:v>Rule and threshold version for improvement/stability/deterioration.</x:v>
      </x:c>
      <x:c r="C22" s="12" t="str">
        <x:v>Required for classification</x:v>
      </x:c>
      <x:c r="D22" s="12" t="str">
        <x:v>Calibrate thresholds using the training period only; freeze them for validation and testing.</x:v>
      </x:c>
    </x:row>
    <x:row r="23" ht="26.399999618530273" hidden="0" customHeight="1">
      <x:c r="A23" s="14" t="str">
        <x:v>time_split</x:v>
      </x:c>
      <x:c r="B23" s="14" t="str">
        <x:v>Time ranges for training, validation and testing.</x:v>
      </x:c>
      <x:c r="C23" s="14" t="str">
        <x:v>Required for validation</x:v>
      </x:c>
      <x:c r="D23" s="14" t="str">
        <x:v>Split chronologically; prevent leakage from the same event across businesses and overlapping prediction windows.</x:v>
      </x:c>
    </x:row>
    <x:row r="24">
      <x:c r="A24" s="2"/>
      <x:c r="B24" s="2"/>
      <x:c r="C24" s="2"/>
      <x:c r="D24" s="2"/>
    </x:row>
    <x:row r="25" ht="30" customHeight="1">
      <x:c r="A25" s="15" t="str">
        <x:v>Start with one business with sufficient data and one target, such as next month’s on-time success rate or change in average daily volume.</x:v>
      </x:c>
      <x:c r="B25" s="15"/>
      <x:c r="C25" s="15"/>
      <x:c r="D25" s="15"/>
    </x:row>
    <x:row r="26" ht="30" customHeight="1">
      <x:c r="A26" s="15" t="str">
        <x:v>With only public annual reports or a few snapshots, begin with trend descriptions and manual event verification. These cannot support genuine monthly profit/quality prediction models.</x:v>
      </x:c>
      <x:c r="B26" s="15"/>
      <x:c r="C26" s="15"/>
      <x:c r="D26" s="15"/>
    </x:row>
    <x:row r="27" ht="30" customHeight="1">
      <x:c r="A27" s="15" t="str">
        <x:v>Store risk-pressure features, potential risk severity and realized business outcomes separately; do not treat them as the same label.</x:v>
      </x:c>
      <x:c r="B27" s="15"/>
      <x:c r="C27" s="15"/>
      <x:c r="D27" s="15"/>
    </x:row>
    <x:row r="28" ht="30" customHeight="1">
      <x:c r="A28" s="15" t="str">
        <x:v>Even strong predictive correlations do not establish that a news item caused a change in DTCC business performance.</x:v>
      </x:c>
      <x:c r="B28" s="15"/>
      <x:c r="C28" s="15"/>
      <x:c r="D28" s="15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</x:sheetData>
  <x:pageMargins left="0.7" right="0.7" top="0.75" bottom="0.75" header="0.3" footer="0.3"/>
</x:worksheet>
</file>