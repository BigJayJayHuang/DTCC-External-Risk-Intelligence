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hains" sheetId="3" state="visible" r:id="rId5"/>
    <sheet name="ECS Signals" sheetId="4" state="visible" r:id="rId6"/>
    <sheet name="Prior Results" sheetId="5" state="visible" r:id="rId7"/>
    <sheet name="Data Gaps" sheetId="6" state="visible" r:id="rId8"/>
    <sheet name="Open Questions" sheetId="7" state="visible" r:id="rId9"/>
  </sheets>
  <definedNames>
    <definedName function="false" hidden="true" localSheetId="2" name="_xlnm._FilterDatabase" vbProcedure="false">Chains!$A$2:$AH$16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<sst xmlns="http://schemas.openxmlformats.org/spreadsheetml/2006/main" count="802" uniqueCount="526">
  <si>
    <t xml:space="preserve">ECS Transmission Chain Hypotheses v1</t>
  </si>
  <si>
    <t xml:space="preserve">Status: hypotheses, not yet tested  ·  Prepared 2026-10-15  ·  Scope: ECS (NSCC clearing and DTC settlement, kept separate)</t>
  </si>
  <si>
    <t xml:space="preserve">How the logic works</t>
  </si>
  <si>
    <t xml:space="preserve">Chain</t>
  </si>
  <si>
    <t xml:space="preserve">World event → mechanism → impact on an ECS process. Step 2 (mechanism) is reasoning and is not tested.</t>
  </si>
  <si>
    <t xml:space="preserve">Test 1 (Step 1)</t>
  </si>
  <si>
    <t xml:space="preserve">Does the signal actually reflect real-world events?</t>
  </si>
  <si>
    <t xml:space="preserve">Test 2 (Step 3)</t>
  </si>
  <si>
    <t xml:space="preserve">Does the shock reach this business? Judged with the TEST variable, which captures the business reacting.</t>
  </si>
  <si>
    <t xml:space="preserve">Vulnerability variable</t>
  </si>
  <si>
    <t xml:space="preserve">Used only for scoring. Measures whether the buffer is enough. Never used in Test 2.</t>
  </si>
  <si>
    <t xml:space="preserve">Routes and options</t>
  </si>
  <si>
    <t xml:space="preserve">A route (R1–R8) is one kind of world event. Where one route has several possible outcomes, each is a separate option (A, B, C). One option per route is marked primary before testing; the others are secondary and are not used for scoring. R3 options A and B are separate risks and both kept.</t>
  </si>
  <si>
    <t xml:space="preserve">Before running tests</t>
  </si>
  <si>
    <t xml:space="preserve">Freeze</t>
  </si>
  <si>
    <t xml:space="preserve">Test methods and pass criteria are proposals. Confirm as a team and freeze before running. If a change is needed, record why and bump the version.</t>
  </si>
  <si>
    <t xml:space="preserve">One test per chain</t>
  </si>
  <si>
    <t xml:space="preserve">Test only the one signal and one test variable on each row. No extra comparisons.</t>
  </si>
  <si>
    <t xml:space="preserve">Prior results</t>
  </si>
  <si>
    <t xml:space="preserve">'Prior results seen?' flags pairs the team already looked at. Those results are exploratory, not confirmations.</t>
  </si>
  <si>
    <t xml:space="preserve">Confidence rules (filled in automatically on the Chains tab)</t>
  </si>
  <si>
    <t xml:space="preserve">High</t>
  </si>
  <si>
    <t xml:space="preserve">Test 1 and Test 2 both pass</t>
  </si>
  <si>
    <t xml:space="preserve">Medium</t>
  </si>
  <si>
    <t xml:space="preserve">Test 1 passes, Test 2 inconclusive due to limited data</t>
  </si>
  <si>
    <t xml:space="preserve">Low/Medium</t>
  </si>
  <si>
    <t xml:space="preserve">Chains without a market indicator, supported by logic and cases</t>
  </si>
  <si>
    <t xml:space="preserve">Revise or drop</t>
  </si>
  <si>
    <t xml:space="preserve">Test 1 fails, or Test 2 is significant in the wrong direction</t>
  </si>
  <si>
    <t xml:space="preserve">Data status labels</t>
  </si>
  <si>
    <t xml:space="preserve">Have</t>
  </si>
  <si>
    <t xml:space="preserve">Already in the project database; ready to use</t>
  </si>
  <si>
    <t xml:space="preserve">Partial</t>
  </si>
  <si>
    <t xml:space="preserve">Partly available, or needs checking first</t>
  </si>
  <si>
    <t xml:space="preserve">Missing</t>
  </si>
  <si>
    <t xml:space="preserve">Not yet available; needs collecting or extracting</t>
  </si>
  <si>
    <t xml:space="preserve">N/A</t>
  </si>
  <si>
    <t xml:space="preserve">No data needed (uses the scoring rubric)</t>
  </si>
  <si>
    <t xml:space="preserve">What to edit</t>
  </si>
  <si>
    <t xml:space="preserve">Yellow cells</t>
  </si>
  <si>
    <t xml:space="preserve">On the Chains tab, the Test record columns (Test 1 result, Test 2 result, date, tester, notes) are for the tester. Confidence and Ready to run update by formula.</t>
  </si>
  <si>
    <t xml:space="preserve">Ready to run?</t>
  </si>
  <si>
    <t xml:space="preserve">Looks only at the signal and the test variable, since those are all the two tests need. The vulnerability variable is needed later, for scoring.</t>
  </si>
  <si>
    <t xml:space="preserve">Everything else</t>
  </si>
  <si>
    <t xml:space="preserve">Change only with team agreement, then bump the version.</t>
  </si>
  <si>
    <t xml:space="preserve">Tabs</t>
  </si>
  <si>
    <t xml:space="preserve">Chains</t>
  </si>
  <si>
    <t xml:space="preserve">One row per chain: the full hypothesis, test plan and test record. Machine-readable; a matching CSV is saved next to this file.</t>
  </si>
  <si>
    <t xml:space="preserve">Summary</t>
  </si>
  <si>
    <t xml:space="preserve">Counts by status, ready-to-run, and confidence. Updates by formula.</t>
  </si>
  <si>
    <t xml:space="preserve">ECS Signals</t>
  </si>
  <si>
    <t xml:space="preserve">Candidate ECS-specific signals, marked leading vs. coincident, and whether they're in the database.</t>
  </si>
  <si>
    <t xml:space="preserve">Prior Results</t>
  </si>
  <si>
    <t xml:space="preserve">What the team's earlier runs already showed for NSCC (Oct 6 tests).</t>
  </si>
  <si>
    <t xml:space="preserve">Data Gaps</t>
  </si>
  <si>
    <t xml:space="preserve">What to collect or extract before each chain can run, ordered by effort.</t>
  </si>
  <si>
    <t xml:space="preserve">Open Questions</t>
  </si>
  <si>
    <t xml:space="preserve">Decisions the team still needs to make.</t>
  </si>
  <si>
    <t xml:space="preserve">All counts update from the Chains tab.</t>
  </si>
  <si>
    <t xml:space="preserve">Overview</t>
  </si>
  <si>
    <t xml:space="preserve">Count</t>
  </si>
  <si>
    <t xml:space="preserve">Total chains</t>
  </si>
  <si>
    <t xml:space="preserve">NSCC chains</t>
  </si>
  <si>
    <t xml:space="preserve">DTC chains</t>
  </si>
  <si>
    <t xml:space="preserve">With market indicator</t>
  </si>
  <si>
    <t xml:space="preserve">Without market indicator</t>
  </si>
  <si>
    <t xml:space="preserve">Core priority</t>
  </si>
  <si>
    <t xml:space="preserve">Extension priority</t>
  </si>
  <si>
    <t xml:space="preserve">Yes</t>
  </si>
  <si>
    <t xml:space="preserve">After checks</t>
  </si>
  <si>
    <t xml:space="preserve">Not yet (signal or test data missing)</t>
  </si>
  <si>
    <t xml:space="preserve">Test results</t>
  </si>
  <si>
    <t xml:space="preserve">PASS</t>
  </si>
  <si>
    <t xml:space="preserve">FAIL</t>
  </si>
  <si>
    <t xml:space="preserve">Other</t>
  </si>
  <si>
    <t xml:space="preserve">Not run</t>
  </si>
  <si>
    <t xml:space="preserve">Test 1</t>
  </si>
  <si>
    <t xml:space="preserve">Test 2</t>
  </si>
  <si>
    <t xml:space="preserve">Confidence</t>
  </si>
  <si>
    <t xml:space="preserve">Data status (all variables)</t>
  </si>
  <si>
    <t xml:space="preserve">Signal / test / vulnerability</t>
  </si>
  <si>
    <t xml:space="preserve">CHAIN</t>
  </si>
  <si>
    <t xml:space="preserve">STEP 1 · SIGNAL</t>
  </si>
  <si>
    <t xml:space="preserve">STEP 2</t>
  </si>
  <si>
    <t xml:space="preserve">STEP 3 · BUSINESS IMPACT</t>
  </si>
  <si>
    <t xml:space="preserve">TEST PLAN (freeze before running)</t>
  </si>
  <si>
    <t xml:space="preserve">TEST RECORD (fill in after running)</t>
  </si>
  <si>
    <t xml:space="preserve">ID</t>
  </si>
  <si>
    <t xml:space="preserve">Route</t>
  </si>
  <si>
    <t xml:space="preserve">Option</t>
  </si>
  <si>
    <t xml:space="preserve">Chain name</t>
  </si>
  <si>
    <t xml:space="preserve">Sub-business</t>
  </si>
  <si>
    <t xml:space="preserve">Type</t>
  </si>
  <si>
    <t xml:space="preserve">Risk family</t>
  </si>
  <si>
    <t xml:space="preserve">Priority</t>
  </si>
  <si>
    <t xml:space="preserve">Step 1 · World event</t>
  </si>
  <si>
    <t xml:space="preserve">Step 1 · Signal</t>
  </si>
  <si>
    <t xml:space="preserve">Signal source</t>
  </si>
  <si>
    <t xml:space="preserve">Signal data</t>
  </si>
  <si>
    <t xml:space="preserve">Step 2 · Mechanism (not tested)</t>
  </si>
  <si>
    <t xml:space="preserve">Step 3 · Process touched</t>
  </si>
  <si>
    <t xml:space="preserve">Step 3 · Test variable (business reacting)</t>
  </si>
  <si>
    <t xml:space="preserve">Test variable source / field</t>
  </si>
  <si>
    <t xml:space="preserve">Test var data</t>
  </si>
  <si>
    <t xml:space="preserve">Step 3 · Vulnerability variable (buffer, scoring only)</t>
  </si>
  <si>
    <t xml:space="preserve">Vulnerability source / field</t>
  </si>
  <si>
    <t xml:space="preserve">Direction</t>
  </si>
  <si>
    <t xml:space="preserve">Vuln data</t>
  </si>
  <si>
    <t xml:space="preserve">Historical event windows</t>
  </si>
  <si>
    <t xml:space="preserve">Prior results seen?</t>
  </si>
  <si>
    <t xml:space="preserve">Test 1 · method &amp; pass criteria (proposed)</t>
  </si>
  <si>
    <t xml:space="preserve">Test 2 · method &amp; pass criteria (proposed)</t>
  </si>
  <si>
    <t xml:space="preserve">Key unknowns</t>
  </si>
  <si>
    <t xml:space="preserve">Notes / overlap</t>
  </si>
  <si>
    <t xml:space="preserve">Test 1 result</t>
  </si>
  <si>
    <t xml:space="preserve">Test 2 result</t>
  </si>
  <si>
    <t xml:space="preserve">Test date</t>
  </si>
  <si>
    <t xml:space="preserve">Tester</t>
  </si>
  <si>
    <t xml:space="preserve">Result notes</t>
  </si>
  <si>
    <t xml:space="preserve">ECS-NSCC-01A</t>
  </si>
  <si>
    <t xml:space="preserve">R1 Equity selloff</t>
  </si>
  <si>
    <t xml:space="preserve">A (primary)</t>
  </si>
  <si>
    <t xml:space="preserve">Equity selloff → margin calls</t>
  </si>
  <si>
    <t xml:space="preserve">NSCC</t>
  </si>
  <si>
    <t xml:space="preserve">Market</t>
  </si>
  <si>
    <t xml:space="preserve">Core</t>
  </si>
  <si>
    <t xml:space="preserve">Sharp stock selloff; equity prices swing hard over days</t>
  </si>
  <si>
    <t xml:space="preserve">VIX, weekly peak (backup: S&amp;P 500 largest daily move)</t>
  </si>
  <si>
    <t xml:space="preserve">FRED VIXCLS (backup: FRED SP500)</t>
  </si>
  <si>
    <t xml:space="preserve">Prices swing → NSCC's margin model recalculates → members get larger margin (Clearing Fund) calls</t>
  </si>
  <si>
    <t xml:space="preserve">NSCC Clearing Fund (margin) calls</t>
  </si>
  <si>
    <t xml:space="preserve">Margin call vs prior-quarter margin</t>
  </si>
  <si>
    <t xml:space="preserve">pqd_quarterly: im_call_to_prior_im (NSCC)</t>
  </si>
  <si>
    <t xml:space="preserve">Cover-1 stress loss ÷ margin</t>
  </si>
  <si>
    <t xml:space="preserve">pqd_quarterly: stress_loss_to_im (PQD 4.4.3 ÷ 6.1.1)</t>
  </si>
  <si>
    <t xml:space="preserve">Higher = more vulnerable</t>
  </si>
  <si>
    <t xml:space="preserve">2020-03-09 to 03-23: COVID shock
2021-01-25 to 01-29: meme-stock week (GameStop)
2024-08-05 to 08-09: volatility spike (yen carry unwind)
2025-04-02 to 04-11: tariff market shock</t>
  </si>
  <si>
    <t xml:space="preserve">Yes (exploratory, post-result): VIX vs im_call_to_prior_im rho 0.19 (n=22). VIX failed Test 1 (hit 1/2 events). New signal (S&amp;P 500 returns) not yet seen.</t>
  </si>
  <si>
    <t xml:space="preserve">Alert when the weekly peak is above the 90th percentile of the prior 52 weeks (excluding the current week). Pass if alerts hit ≥ 2/3 of event windows and the alert rate outside events is ≤ 15%. (Team standard)</t>
  </si>
  <si>
    <t xml:space="preserve">Quarterly max of the weekly signal vs the same-quarter test variable. Pass if Spearman rho ≥ 0.3 and the 4-quarter block-bootstrap 95% CI lower bound &gt; 0. (Team standard)</t>
  </si>
  <si>
    <t xml:space="preserve">Quarterly PQD only (~23 quarters); margin also moves with business growth and model changes</t>
  </si>
  <si>
    <t xml:space="preserve">Primary for R1, chosen before testing. 01B and 01C are secondary and not used for scoring.</t>
  </si>
  <si>
    <t xml:space="preserve">ECS-NSCC-01B</t>
  </si>
  <si>
    <t xml:space="preserve">B</t>
  </si>
  <si>
    <t xml:space="preserve">Equity selloff → variation margin cash swings</t>
  </si>
  <si>
    <t xml:space="preserve">Liquidity</t>
  </si>
  <si>
    <t xml:space="preserve">Extension</t>
  </si>
  <si>
    <t xml:space="preserve">Prices swing → daily mark-to-market payments jump → members must move more cash the same day → NSCC's settlement cash needs rise</t>
  </si>
  <si>
    <t xml:space="preserve">NSCC daily variation margin and settlement cash flows</t>
  </si>
  <si>
    <t xml:space="preserve">Peak single-day VM ÷ average VM</t>
  </si>
  <si>
    <t xml:space="preserve">pqd_quarterly: vm_peak_to_avg (PQD 6.7.x)</t>
  </si>
  <si>
    <t xml:space="preserve">Largest payment obligation ÷ qualifying liquid resources</t>
  </si>
  <si>
    <t xml:space="preserve">pqd_quarterly: payment_to_qlr (PQD 7.3.4 ÷ 7.1)</t>
  </si>
  <si>
    <t xml:space="preserve">Yes (exploratory): VIX vs vm_peak_to_avg rho 0.08; VIX vs vm_peak_usd rho 0.33. SOFR−EFFR adj. vs vm_peak_to_avg rho 0.55.</t>
  </si>
  <si>
    <t xml:space="preserve">Member-level cash positions not public</t>
  </si>
  <si>
    <t xml:space="preserve">Secondary to 01A. Shares its vulnerability variable with 03B.</t>
  </si>
  <si>
    <t xml:space="preserve">ECS-NSCC-01C</t>
  </si>
  <si>
    <t xml:space="preserve">C</t>
  </si>
  <si>
    <t xml:space="preserve">Equity selloff → margin model misses</t>
  </si>
  <si>
    <t xml:space="preserve">Credit</t>
  </si>
  <si>
    <t xml:space="preserve">Moves exceed what the margin model expected → margin falls short on more days → NSCC is briefly under-collateralized</t>
  </si>
  <si>
    <t xml:space="preserve">NSCC margin model coverage (backtesting)</t>
  </si>
  <si>
    <t xml:space="preserve">Number of margin backtest breaches</t>
  </si>
  <si>
    <t xml:space="preserve">pqd_quarterly: backtest_breaches (NSCC)</t>
  </si>
  <si>
    <t xml:space="preserve">Largest uncovered amount ÷ margin</t>
  </si>
  <si>
    <t xml:space="preserve">pqd_quarterly: backtest_uncovered_peak_to_im</t>
  </si>
  <si>
    <t xml:space="preserve">Not tested on this pair. VIX failed Test 1.</t>
  </si>
  <si>
    <t xml:space="preserve">Breach counts depend on NSCC model changes, not only market moves</t>
  </si>
  <si>
    <t xml:space="preserve">Secondary to 01A.</t>
  </si>
  <si>
    <t xml:space="preserve">ECS-NSCC-02A</t>
  </si>
  <si>
    <t xml:space="preserve">R2 Trading volume surge</t>
  </si>
  <si>
    <t xml:space="preserve">Volume surge → settlement fails</t>
  </si>
  <si>
    <t xml:space="preserve">Operational</t>
  </si>
  <si>
    <t xml:space="preserve">Record trading days (meme-stock rally, panic selling, index events)</t>
  </si>
  <si>
    <t xml:space="preserve">US consolidated equity volume, weekly peak</t>
  </si>
  <si>
    <t xml:space="preserve">Cboe U.S. Equities Market Volume Summary (daily)</t>
  </si>
  <si>
    <t xml:space="preserve">Trade count surges → more trades can't be delivered on time → NSCC's settlement fails rise</t>
  </si>
  <si>
    <t xml:space="preserve">NSCC Continuous Net Settlement (CNS) deliveries</t>
  </si>
  <si>
    <t xml:space="preserve">Aggregate fails-to-deliver</t>
  </si>
  <si>
    <t xml:space="preserve">SEC Fails-to-Deliver data (from NSCC CNS; twice monthly, daily values)</t>
  </si>
  <si>
    <t xml:space="preserve">TBD (no public capacity-buffer field)</t>
  </si>
  <si>
    <t xml:space="preserve">TBD</t>
  </si>
  <si>
    <t xml:space="preserve">—</t>
  </si>
  <si>
    <t xml:space="preserve">2020-03-09 to 03-23: COVID shock
2021-01-25 to 01-29: meme-stock week
2025-04-02 to 04-11: tariff market shock</t>
  </si>
  <si>
    <t xml:space="preserve">No</t>
  </si>
  <si>
    <t xml:space="preserve">Event study: shock weeks = signal above the 90th percentile of the prior 52 weeks. Regress the weekly test variable on a shock-week dummy plus month-end and quarter-end dummies. Pass if the coefficient &gt; 0 with p &lt; 0.05 (HAC standard errors).</t>
  </si>
  <si>
    <t xml:space="preserve">Fails also driven by short selling and securities lending, not only volume</t>
  </si>
  <si>
    <t xml:space="preserve">Scores Shock only until a vulnerability field is found.</t>
  </si>
  <si>
    <t xml:space="preserve">ECS-NSCC-02B</t>
  </si>
  <si>
    <t xml:space="preserve">Volume surge → system strain</t>
  </si>
  <si>
    <t xml:space="preserve">Trade count surges → trade capture and netting run near peak load → slowdowns or outages</t>
  </si>
  <si>
    <t xml:space="preserve">NSCC trade capture and netting systems</t>
  </si>
  <si>
    <t xml:space="preserve">Number and duration of operational failures</t>
  </si>
  <si>
    <t xml:space="preserve">PQD 17.3 (extract from existing PQD files)</t>
  </si>
  <si>
    <t xml:space="preserve">Core-system availability</t>
  </si>
  <si>
    <t xml:space="preserve">PQD 17.2 (extract from existing PQD files)</t>
  </si>
  <si>
    <t xml:space="preserve">Lower = more vulnerable</t>
  </si>
  <si>
    <t xml:space="preserve">2021-01-25 to 01-29: meme-stock week
2025-04-02 to 04-11: tariff market shock</t>
  </si>
  <si>
    <t xml:space="preserve">17.x may be DTCC-wide, not NSCC-only; failures are rare, so few non-zero quarters</t>
  </si>
  <si>
    <t xml:space="preserve">Same signal as 02A; keep one for scoring.</t>
  </si>
  <si>
    <t xml:space="preserve">ECS-NSCC-03A</t>
  </si>
  <si>
    <t xml:space="preserve">R3 Broker / member stress</t>
  </si>
  <si>
    <t xml:space="preserve">A</t>
  </si>
  <si>
    <t xml:space="preserve">Broker distress → default exposure</t>
  </si>
  <si>
    <t xml:space="preserve">A broker-dealer or bank is downgraded, reports big losses, or fails</t>
  </si>
  <si>
    <t xml:space="preserve">20-day widening in the Baa credit spread, weekly peak</t>
  </si>
  <si>
    <t xml:space="preserve">FRED BAA10Y (in database as baa_widen20)</t>
  </si>
  <si>
    <t xml:space="preserve">Credit conditions worsen → a member is more likely to default → NSCC uses default resources and other members share losses</t>
  </si>
  <si>
    <t xml:space="preserve">NSCC default management and mutualized Clearing Fund</t>
  </si>
  <si>
    <t xml:space="preserve">Historical case evidence</t>
  </si>
  <si>
    <t xml:space="preserve">e.g. Jan 2021: brokers faced large NSCC deposit calls during the meme-stock week (verify original sources)</t>
  </si>
  <si>
    <t xml:space="preserve">Top-5 members' share of open positions</t>
  </si>
  <si>
    <t xml:space="preserve">pqd_quarterly: top5_open_share (PQD 18.2.2)</t>
  </si>
  <si>
    <t xml:space="preserve">2020-03-09 to 03-23: COVID shock
2021-01-25 to 01-29: meme-stock week
2023-03-08 to 03-17: bank stress (SVB)</t>
  </si>
  <si>
    <t xml:space="preserve">Yes for the signal: baa_widen20 PASSED Test 1 (Oct 6 event screen).</t>
  </si>
  <si>
    <t xml:space="preserve">Original Test 1 already passed; re-run once with weekly peaks to confirm</t>
  </si>
  <si>
    <t xml:space="preserve">Pass if at least 1 past event has public evidence that NSCC default management or member risk measures was affected. Expected confidence: Low/Medium.</t>
  </si>
  <si>
    <t xml:space="preserve">Which members are under strain is not public</t>
  </si>
  <si>
    <t xml:space="preserve">Same signal as FICC-GSD-04; news is tagged per business line.</t>
  </si>
  <si>
    <t xml:space="preserve">ECS-NSCC-03B</t>
  </si>
  <si>
    <t xml:space="preserve">Funding squeeze → member can't meet NSCC payments</t>
  </si>
  <si>
    <t xml:space="preserve">Short-term funding markets tighten; brokers struggle to raise cash</t>
  </si>
  <si>
    <t xml:space="preserve">SOFR − EFFR, quarter-end adjusted, weekly peak</t>
  </si>
  <si>
    <t xml:space="preserve">FRED SOFR, EFFR (in database as sofr_effr_adjusted)</t>
  </si>
  <si>
    <t xml:space="preserve">Funding gets expensive → brokers have less cash on hand → margin and settlement payments to NSCC get harder to meet → NSCC's liquidity needs rise</t>
  </si>
  <si>
    <t xml:space="preserve">NSCC daily settlement payments and liquidity</t>
  </si>
  <si>
    <t xml:space="preserve">Margin call ÷ margin</t>
  </si>
  <si>
    <t xml:space="preserve">pqd_quarterly: im_call_to_im (NSCC)</t>
  </si>
  <si>
    <t xml:space="preserve">2019-09-16 to 09-20: repo spike (before PQD history)
2020-03-09 to 03-23: COVID shock
2025-04-02 to 04-11: tariff market shock</t>
  </si>
  <si>
    <t xml:space="preserve">Yes: signal PASSED Test 1. Exploratory: vs im_call_to_im rho 0.45 (n=23), seen before writing.</t>
  </si>
  <si>
    <t xml:space="preserve">Member funding positions not public; NSCC payment_to_core_qlr equals payment_to_qlr in the data</t>
  </si>
  <si>
    <t xml:space="preserve">Shares vulnerability with 01B. Prior result seen, so treat Test 2 as confirmatory only.</t>
  </si>
  <si>
    <t xml:space="preserve">ECS-NSCC-04</t>
  </si>
  <si>
    <t xml:space="preserve">R4 Settlement cycle change</t>
  </si>
  <si>
    <t xml:space="preserve">T+1 / T+0 / 24x5 → NSCC fails</t>
  </si>
  <si>
    <t xml:space="preserve">Regulatory</t>
  </si>
  <si>
    <t xml:space="preserve">SEC or industry moves to a shorter settlement cycle or longer trading hours</t>
  </si>
  <si>
    <t xml:space="preserve">None; use the scoring rubric (certainty, scope, time to event)</t>
  </si>
  <si>
    <t xml:space="preserve">Less time between trade and settlement → late or manual steps become the bottleneck → more trades fail at NSCC</t>
  </si>
  <si>
    <t xml:space="preserve">Settling NSCC-cleared trades on time</t>
  </si>
  <si>
    <t xml:space="preserve">NSCC fail rate (monthly)</t>
  </si>
  <si>
    <t xml:space="preserve">DTCC Equities by the Numbers (data_refresh: May-2024 and Aug-2026 only)</t>
  </si>
  <si>
    <t xml:space="preserve">TBD (candidate: industry affirmation rate, ITP data, not PQD)</t>
  </si>
  <si>
    <t xml:space="preserve">2023-02-15: SEC adopts T+1
2024-05-28: US T+1 go-live
24x5 / T+0 milestones (to compile)</t>
  </si>
  <si>
    <t xml:space="preserve">Partial look: NSCC fail rate 2.00% (May 2024) → 2.21% (Aug 2026).</t>
  </si>
  <si>
    <t xml:space="preserve">No statistical test. Confirm each event or milestone has a named public source (rule text, press release, official notice).</t>
  </si>
  <si>
    <t xml:space="preserve">Compare the monthly fail rate for the 3 months after each milestone vs the 3 months before. Pass if higher after (direction fixed before running).</t>
  </si>
  <si>
    <t xml:space="preserve">Monthly history before 2024 not yet collected; fails also move with market activity</t>
  </si>
  <si>
    <t xml:space="preserve">Split from ECS-DTC-01 so NSCC and DTC stay separate.</t>
  </si>
  <si>
    <t xml:space="preserve">ECS-NSCC-05</t>
  </si>
  <si>
    <t xml:space="preserve">R5 Scheduled peak days</t>
  </si>
  <si>
    <t xml:space="preserve">Known peak dates → processing load</t>
  </si>
  <si>
    <t xml:space="preserve">Triple witching, Russell reconstitution, S&amp;P quarterly rebalance</t>
  </si>
  <si>
    <t xml:space="preserve">None; use the scoring rubric (dates known in advance)</t>
  </si>
  <si>
    <t xml:space="preserve">Activity bunches onto one known date → a predictable volume peak → NSCC runs at high load that session</t>
  </si>
  <si>
    <t xml:space="preserve">NSCC processing on known peak dates</t>
  </si>
  <si>
    <t xml:space="preserve">Fails-to-deliver in the week after each peak date</t>
  </si>
  <si>
    <t xml:space="preserve">SEC Fails-to-Deliver data</t>
  </si>
  <si>
    <t xml:space="preserve">Quarterly triple-witching Fridays 2018–now
Annual Russell reconstitution (late June)
S&amp;P quarterly rebalances</t>
  </si>
  <si>
    <t xml:space="preserve">Event study: shock weeks = weeks containing a scheduled peak date. Regress the weekly test variable on a shock-week dummy plus month-end and quarter-end dummies. Pass if the coefficient &gt; 0 with p &lt; 0.05 (HAC standard errors).</t>
  </si>
  <si>
    <t xml:space="preserve">Peak-day capacity plans not public</t>
  </si>
  <si>
    <t xml:space="preserve">Forward-looking: feeds the upcoming-events view. Shares test data with 02A.</t>
  </si>
  <si>
    <t xml:space="preserve">ECS-DTC-01</t>
  </si>
  <si>
    <t xml:space="preserve">T+1 / T+0 / 24x5 → DTC fails</t>
  </si>
  <si>
    <t xml:space="preserve">DTC</t>
  </si>
  <si>
    <t xml:space="preserve">Less time to settle → more deliveries miss the DTC cutoff → DTC fails and recycling rise</t>
  </si>
  <si>
    <t xml:space="preserve">DTC end-of-day settlement completion</t>
  </si>
  <si>
    <t xml:space="preserve">DTC fail rate (monthly)</t>
  </si>
  <si>
    <t xml:space="preserve">TBD (DTC has no PQD)</t>
  </si>
  <si>
    <t xml:space="preserve">2023-02-15: SEC adopts T+1
2024-05-28: US T+1 go-live</t>
  </si>
  <si>
    <t xml:space="preserve">Partial look: DTC fail rate 2.83% (May 2024) → 3.18% (Aug 2026).</t>
  </si>
  <si>
    <t xml:space="preserve">Monthly history before 2024 not yet collected</t>
  </si>
  <si>
    <t xml:space="preserve">DTC side of R4.</t>
  </si>
  <si>
    <t xml:space="preserve">ECS-DTC-02A</t>
  </si>
  <si>
    <t xml:space="preserve">R6 Technology threat</t>
  </si>
  <si>
    <t xml:space="preserve">New exploited vulnerabilities → DTC disruption</t>
  </si>
  <si>
    <t xml:space="preserve">Cyber</t>
  </si>
  <si>
    <t xml:space="preserve">A widely used software flaw is actively exploited; a cyberattack hits a market firm</t>
  </si>
  <si>
    <t xml:space="preserve">New CISA Known-Exploited-Vulnerabilities entries, weekly count</t>
  </si>
  <si>
    <t xml:space="preserve">CISA KEV catalog (in repo: cisa_catalog_entries.csv)</t>
  </si>
  <si>
    <t xml:space="preserve">Exploited flaw hits DTC, a participant or a vendor → a system goes down → deliveries stall → settlement runs late</t>
  </si>
  <si>
    <t xml:space="preserve">DTCC public service notices (outages, extended cutoffs)</t>
  </si>
  <si>
    <t xml:space="preserve">DTCC Important Notices (to collect)</t>
  </si>
  <si>
    <t xml:space="preserve">2023-11: ICBC US ransomware (Treasury settlement disruption; check for any DTC impact)
2024-07-19: global IT outage (check for any DTC impact)</t>
  </si>
  <si>
    <t xml:space="preserve">Pass if at least 1 past event has public evidence that DTC settlement or service availability was affected. Expected confidence: Low/Medium.</t>
  </si>
  <si>
    <t xml:space="preserve">Most incidents inside firms are never made public</t>
  </si>
  <si>
    <t xml:space="preserve">KEV is broad; most entries won't touch DTC. Option B uses cloud incidents instead.</t>
  </si>
  <si>
    <t xml:space="preserve">ECS-DTC-02B</t>
  </si>
  <si>
    <t xml:space="preserve">Cloud / vendor outage → DTC disruption</t>
  </si>
  <si>
    <t xml:space="preserve">A major cloud or network provider has a widespread outage</t>
  </si>
  <si>
    <t xml:space="preserve">Weekly count and duration of major cloud-provider incidents</t>
  </si>
  <si>
    <t xml:space="preserve">Provider status pages (in repo: provider_product_incidents.csv)</t>
  </si>
  <si>
    <t xml:space="preserve">A shared vendor goes down → DTC or its participants lose a dependency → deliveries stall → settlement runs late</t>
  </si>
  <si>
    <t xml:space="preserve">2024-07-19: global IT outage (check for any DTC impact)</t>
  </si>
  <si>
    <t xml:space="preserve">Which vendors DTC uses is not public</t>
  </si>
  <si>
    <t xml:space="preserve">Alternative to 02A; same test variable.</t>
  </si>
  <si>
    <t xml:space="preserve">ECS-DTC-03</t>
  </si>
  <si>
    <t xml:space="preserve">R7 New-issue wave</t>
  </si>
  <si>
    <t xml:space="preserve">Issuance surge → DTC new-issue processing</t>
  </si>
  <si>
    <t xml:space="preserve">IPO and bond issuance hits a record month</t>
  </si>
  <si>
    <t xml:space="preserve">Count of new SEC prospectus filings (424B), weekly</t>
  </si>
  <si>
    <t xml:space="preserve">SEC EDGAR filing index</t>
  </si>
  <si>
    <t xml:space="preserve">More new securities enter DTC → more to make eligible and settle at once → backlog risk</t>
  </si>
  <si>
    <t xml:space="preserve">DTC new-issue eligibility and settlement</t>
  </si>
  <si>
    <t xml:space="preserve">DTC new-issue count (monthly)</t>
  </si>
  <si>
    <t xml:space="preserve">data_refresh: asset_services_underwriting_monthly.csv (2011–now)</t>
  </si>
  <si>
    <t xml:space="preserve">2020-H2 to 2021-H1: issuance boom
2022: issuance slowdown (contrast window)</t>
  </si>
  <si>
    <t xml:space="preserve">Quarterly max of the weekly signal vs the same-month test variable. Pass if Spearman rho ≥ 0.3 and the 4-quarter block-bootstrap 95% CI lower bound &gt; 0. (Team standard)</t>
  </si>
  <si>
    <t xml:space="preserve">DTC new-issue capacity not public</t>
  </si>
  <si>
    <t xml:space="preserve">May belong to Asset Services rather than ECS. Confirm with the team.</t>
  </si>
  <si>
    <t xml:space="preserve">ECS-DTC-04</t>
  </si>
  <si>
    <t xml:space="preserve">R8 Bank funding stress</t>
  </si>
  <si>
    <t xml:space="preserve">Funding stress → DTC end-of-day money settlement</t>
  </si>
  <si>
    <t xml:space="preserve">Short-term bank funding markets tighten</t>
  </si>
  <si>
    <t xml:space="preserve">Financial commercial paper − T-bill spread, weekly peak</t>
  </si>
  <si>
    <t xml:space="preserve">FRED DCPF3M − DTB3</t>
  </si>
  <si>
    <t xml:space="preserve">Banks find cash harder to get → participants slower to fund end-of-day balances → DTC must cover any gap with its own liquidity</t>
  </si>
  <si>
    <t xml:space="preserve">DTC end-of-day money settlement</t>
  </si>
  <si>
    <t xml:space="preserve">e.g. March 2020 settlement pressure (to research)</t>
  </si>
  <si>
    <t xml:space="preserve">TBD (candidate: Participants Fund / liquidity resources from DTC quarterly financial statements already in the repo)</t>
  </si>
  <si>
    <t xml:space="preserve">2020-03-09 to 03-23: COVID shock
2023-03-08 to 03-17: bank stress (SVB)</t>
  </si>
  <si>
    <t xml:space="preserve">Pass if at least 1 past event has public evidence that DTC end-of-day money settlement was affected. Expected confidence: Low/Medium.</t>
  </si>
  <si>
    <t xml:space="preserve">Participant-level balances not public</t>
  </si>
  <si>
    <t xml:space="preserve">DTC side of funding stress (NSCC side is 03B).</t>
  </si>
  <si>
    <t xml:space="preserve">Signal</t>
  </si>
  <si>
    <t xml:space="preserve">What it captures</t>
  </si>
  <si>
    <t xml:space="preserve">Timing</t>
  </si>
  <si>
    <t xml:space="preserve">Frequency</t>
  </si>
  <si>
    <t xml:space="preserve">Source / ID</t>
  </si>
  <si>
    <t xml:space="preserve">In database?</t>
  </si>
  <si>
    <t xml:space="preserve">Used by</t>
  </si>
  <si>
    <t xml:space="preserve">Notes</t>
  </si>
  <si>
    <t xml:space="preserve">S&amp;P 500 largest absolute daily return (weekly peak)</t>
  </si>
  <si>
    <t xml:space="preserve">Size of equity price shocks</t>
  </si>
  <si>
    <t xml:space="preserve">Coincident</t>
  </si>
  <si>
    <t xml:space="preserve">Daily</t>
  </si>
  <si>
    <t xml:space="preserve">FRED SP500</t>
  </si>
  <si>
    <t xml:space="preserve">Partial (2025-09 on)</t>
  </si>
  <si>
    <t xml:space="preserve">R1 (01A/B/C)</t>
  </si>
  <si>
    <t xml:space="preserve">Proposed main ECS shock signal. Backfill to 2018.</t>
  </si>
  <si>
    <t xml:space="preserve">S&amp;P 500 20-day realized volatility</t>
  </si>
  <si>
    <t xml:space="preserve">How choppy the market has been</t>
  </si>
  <si>
    <t xml:space="preserve">Coincident / lagging</t>
  </si>
  <si>
    <t xml:space="preserve">Computed from FRED SP500</t>
  </si>
  <si>
    <t xml:space="preserve">Backup for R1</t>
  </si>
  <si>
    <t xml:space="preserve">Smoother than daily returns; reacts later.</t>
  </si>
  <si>
    <t xml:space="preserve">VIX</t>
  </si>
  <si>
    <t xml:space="preserve">Expected 30-day equity volatility</t>
  </si>
  <si>
    <t xml:space="preserve">FRED VIXCLS</t>
  </si>
  <si>
    <t xml:space="preserve">Have (2018 on)</t>
  </si>
  <si>
    <t xml:space="preserve">Failed Test 1 on Oct 6 (hit 1 of 2 events). Spikes with the event, so little early warning.</t>
  </si>
  <si>
    <t xml:space="preserve">VIX above 3-month VIX (term-structure inversion)</t>
  </si>
  <si>
    <t xml:space="preserve">Acute stress: near-term fear above longer-term</t>
  </si>
  <si>
    <t xml:space="preserve">FRED VIXCLS and VXVCLS (verify ID)</t>
  </si>
  <si>
    <t xml:space="preserve">Option for R1</t>
  </si>
  <si>
    <t xml:space="preserve">Flags panics more sharply than VIX level.</t>
  </si>
  <si>
    <t xml:space="preserve">US consolidated equity volume (weekly peak)</t>
  </si>
  <si>
    <t xml:space="preserve">Trading activity surges</t>
  </si>
  <si>
    <t xml:space="preserve">Cboe U.S. Equities Market Volume Summary</t>
  </si>
  <si>
    <t xml:space="preserve">R2 (02A/B)</t>
  </si>
  <si>
    <t xml:space="preserve">Closest public proxy for NSCC load.</t>
  </si>
  <si>
    <t xml:space="preserve">Listed options volume</t>
  </si>
  <si>
    <t xml:space="preserve">Options activity; peaks at expirations</t>
  </si>
  <si>
    <t xml:space="preserve">OCC daily volume statistics</t>
  </si>
  <si>
    <t xml:space="preserve">Option for R2/R5</t>
  </si>
  <si>
    <t xml:space="preserve">Useful around triple-witching dates.</t>
  </si>
  <si>
    <t xml:space="preserve">FINRA margin debt</t>
  </si>
  <si>
    <t xml:space="preserve">Leverage building up in customer accounts</t>
  </si>
  <si>
    <t xml:space="preserve">Leading</t>
  </si>
  <si>
    <t xml:space="preserve">Monthly</t>
  </si>
  <si>
    <t xml:space="preserve">FINRA Margin Statistics</t>
  </si>
  <si>
    <t xml:space="preserve">Option for R1/R3</t>
  </si>
  <si>
    <t xml:space="preserve">Early warning: high leverage → bigger margin calls when prices drop.</t>
  </si>
  <si>
    <t xml:space="preserve">FINRA short interest</t>
  </si>
  <si>
    <t xml:space="preserve">Crowded short positions</t>
  </si>
  <si>
    <t xml:space="preserve">Twice monthly</t>
  </si>
  <si>
    <t xml:space="preserve">FINRA Equity Short Interest</t>
  </si>
  <si>
    <t xml:space="preserve">Option for R2</t>
  </si>
  <si>
    <t xml:space="preserve">Early warning for squeeze episodes like Jan 2021.</t>
  </si>
  <si>
    <t xml:space="preserve">ETF net issuance</t>
  </si>
  <si>
    <t xml:space="preserve">Creation/redemption pressure</t>
  </si>
  <si>
    <t xml:space="preserve">Weekly</t>
  </si>
  <si>
    <t xml:space="preserve">ICI weekly ETF estimates</t>
  </si>
  <si>
    <t xml:space="preserve">Future ETF chain</t>
  </si>
  <si>
    <t xml:space="preserve">ETF reference list already in repo, but not flows.</t>
  </si>
  <si>
    <t xml:space="preserve">Scheduled peak calendar</t>
  </si>
  <si>
    <t xml:space="preserve">Known high-volume dates</t>
  </si>
  <si>
    <t xml:space="preserve">Forward-known</t>
  </si>
  <si>
    <t xml:space="preserve">Event</t>
  </si>
  <si>
    <t xml:space="preserve">Exchange and index provider calendars</t>
  </si>
  <si>
    <t xml:space="preserve">R5 (NSCC-05)</t>
  </si>
  <si>
    <t xml:space="preserve">Only true forward-looking signal; feeds the upcoming-events view.</t>
  </si>
  <si>
    <t xml:space="preserve">Baa credit spread, 20-day widening</t>
  </si>
  <si>
    <t xml:space="preserve">Credit stress at firms</t>
  </si>
  <si>
    <t xml:space="preserve">FRED BAA10Y (baa_widen20)</t>
  </si>
  <si>
    <t xml:space="preserve">R3 (03A)</t>
  </si>
  <si>
    <t xml:space="preserve">Passed Test 1 on Oct 6.</t>
  </si>
  <si>
    <t xml:space="preserve">SOFR − EFFR, quarter-end adjusted</t>
  </si>
  <si>
    <t xml:space="preserve">Funding stress</t>
  </si>
  <si>
    <t xml:space="preserve">FRED SOFR, EFFR</t>
  </si>
  <si>
    <t xml:space="preserve">R3 (03B)</t>
  </si>
  <si>
    <t xml:space="preserve">Financial CP − T-bill spread</t>
  </si>
  <si>
    <t xml:space="preserve">Bank short-term funding stress</t>
  </si>
  <si>
    <t xml:space="preserve">R8 (DTC-04)</t>
  </si>
  <si>
    <t xml:space="preserve">DGS3MO already in database; DCPF3M not yet.</t>
  </si>
  <si>
    <t xml:space="preserve">CISA new exploited vulnerabilities (weekly count)</t>
  </si>
  <si>
    <t xml:space="preserve">Cyber threat level</t>
  </si>
  <si>
    <t xml:space="preserve">Leading / coincident</t>
  </si>
  <si>
    <t xml:space="preserve">CISA KEV catalog</t>
  </si>
  <si>
    <t xml:space="preserve">Have (repo)</t>
  </si>
  <si>
    <t xml:space="preserve">R6 (DTC-02A)</t>
  </si>
  <si>
    <t xml:space="preserve">Broad; most entries won't touch DTC.</t>
  </si>
  <si>
    <t xml:space="preserve">Cloud-provider incidents (weekly count, duration)</t>
  </si>
  <si>
    <t xml:space="preserve">Third-party technology outages</t>
  </si>
  <si>
    <t xml:space="preserve">Provider status pages</t>
  </si>
  <si>
    <t xml:space="preserve">R6 (DTC-02B)</t>
  </si>
  <si>
    <t xml:space="preserve">Google Cloud/Workspace history in repo.</t>
  </si>
  <si>
    <t xml:space="preserve">SEC fails-to-deliver</t>
  </si>
  <si>
    <t xml:space="preserve">Settlement failures at NSCC</t>
  </si>
  <si>
    <t xml:space="preserve">Lagging</t>
  </si>
  <si>
    <t xml:space="preserve">Daily (published twice monthly)</t>
  </si>
  <si>
    <t xml:space="preserve">SEC FTD data</t>
  </si>
  <si>
    <t xml:space="preserve">Test variable for R2/R5</t>
  </si>
  <si>
    <t xml:space="preserve">Better as a test variable (business reacting) than a signal.</t>
  </si>
  <si>
    <t xml:space="preserve">Test run</t>
  </si>
  <si>
    <t xml:space="preserve">Business / outcome</t>
  </si>
  <si>
    <t xml:space="preserve">Result</t>
  </si>
  <si>
    <t xml:space="preserve">Detail</t>
  </si>
  <si>
    <t xml:space="preserve">What it means for ECS</t>
  </si>
  <si>
    <t xml:space="preserve">Test 1 event screen (Oct 6)</t>
  </si>
  <si>
    <t xml:space="preserve">SOFR − EFFR</t>
  </si>
  <si>
    <t xml:space="preserve">Hit 3/3 events</t>
  </si>
  <si>
    <t xml:space="preserve">Usable signal for R3 Option B.</t>
  </si>
  <si>
    <t xml:space="preserve">SOFR − EFFR adjusted</t>
  </si>
  <si>
    <t xml:space="preserve">Hit 3/3 events; lower quarter-end alarm rate</t>
  </si>
  <si>
    <t xml:space="preserve">Preferred version for R3 Option B.</t>
  </si>
  <si>
    <t xml:space="preserve">10-yr Treasury abs. change</t>
  </si>
  <si>
    <t xml:space="preserve">Hit 2/2 events</t>
  </si>
  <si>
    <t xml:space="preserve">FICC signal; not used for ECS.</t>
  </si>
  <si>
    <t xml:space="preserve">Baa spread 20-day widening</t>
  </si>
  <si>
    <t xml:space="preserve">Usable signal for R3 Option A.</t>
  </si>
  <si>
    <t xml:space="preserve">Baa spread level</t>
  </si>
  <si>
    <t xml:space="preserve">Hit 1/2 events</t>
  </si>
  <si>
    <t xml:space="preserve">Use the widening version instead.</t>
  </si>
  <si>
    <t xml:space="preserve">Why R1 now proposes an S&amp;P 500 return signal.</t>
  </si>
  <si>
    <t xml:space="preserve">Old Test 2 (mixed variables)</t>
  </si>
  <si>
    <t xml:space="preserve">NSCC stress_loss_to_im (a buffer)</t>
  </si>
  <si>
    <t xml:space="preserve">rho −0.46, wrong direction</t>
  </si>
  <si>
    <t xml:space="preserve">The mix-up: a buffer was used as the outcome. v1 fixes this.</t>
  </si>
  <si>
    <t xml:space="preserve">NSCC payment_to_qlr (a buffer)</t>
  </si>
  <si>
    <t xml:space="preserve">FAIL (all sample)</t>
  </si>
  <si>
    <t xml:space="preserve">rho 0.27; selection sample 0.36</t>
  </si>
  <si>
    <t xml:space="preserve">Same mix-up. v1 moves payment_to_qlr to the vulnerability slot.</t>
  </si>
  <si>
    <t xml:space="preserve">Follow-up (exploratory, post-result)</t>
  </si>
  <si>
    <t xml:space="preserve">NSCC im_call_usd</t>
  </si>
  <si>
    <t xml:space="preserve">Exploratory</t>
  </si>
  <si>
    <t xml:space="preserve">rho 0.27 (n=23)</t>
  </si>
  <si>
    <t xml:space="preserve">Weak positive; business reacting in the right direction.</t>
  </si>
  <si>
    <t xml:space="preserve">NSCC vm_peak_usd</t>
  </si>
  <si>
    <t xml:space="preserve">rho 0.33 (n=23)</t>
  </si>
  <si>
    <t xml:space="preserve">Weak positive; supports R1 Option B.</t>
  </si>
  <si>
    <t xml:space="preserve">NSCC im_call_to_im</t>
  </si>
  <si>
    <t xml:space="preserve">rho 0.45 (n=23)</t>
  </si>
  <si>
    <t xml:space="preserve">Encouraging for R3 Option B, but already seen.</t>
  </si>
  <si>
    <t xml:space="preserve">NSCC vm_peak_to_avg</t>
  </si>
  <si>
    <t xml:space="preserve">rho 0.55 (n=23)</t>
  </si>
  <si>
    <t xml:space="preserve">Funding stress lines up with VM spikes.</t>
  </si>
  <si>
    <t xml:space="preserve">Source: repo results, risk_business_ml/event_vulnerability_tests_2026_10_06/results (event_screen.csv, pqd_lagged_spearman.csv) and feedback_revision_report_2026_10_06/results/response_correlations.csv. 'Exploratory' results were seen before v1 was written, so they don't count as confirmations.</t>
  </si>
  <si>
    <t xml:space="preserve">Data</t>
  </si>
  <si>
    <t xml:space="preserve">Source</t>
  </si>
  <si>
    <t xml:space="preserve">Effort</t>
  </si>
  <si>
    <t xml:space="preserve">S&amp;P 500 daily, 2018 to now (backup R1 signal)</t>
  </si>
  <si>
    <t xml:space="preserve">ECS-NSCC-01A/B/C</t>
  </si>
  <si>
    <t xml:space="preserve">Very easy</t>
  </si>
  <si>
    <t xml:space="preserve">Only needed if VIX fails Test 1 again.</t>
  </si>
  <si>
    <t xml:space="preserve">PQD 17.2, 17.3 (availability, failures)</t>
  </si>
  <si>
    <t xml:space="preserve">Existing PQD xlsx files in repo</t>
  </si>
  <si>
    <t xml:space="preserve">Same extraction FICC needs for GSD-06.</t>
  </si>
  <si>
    <t xml:space="preserve">Financial CP rate (DCPF3M)</t>
  </si>
  <si>
    <t xml:space="preserve">FRED</t>
  </si>
  <si>
    <t xml:space="preserve">DTB3/DGS3MO already in database.</t>
  </si>
  <si>
    <t xml:space="preserve">Cboe US equity daily volume</t>
  </si>
  <si>
    <t xml:space="preserve">ECS-NSCC-02A/B</t>
  </si>
  <si>
    <t xml:space="preserve">Cboe market volume summary</t>
  </si>
  <si>
    <t xml:space="preserve">Confirm history back to 2018.</t>
  </si>
  <si>
    <t xml:space="preserve">ECS-NSCC-02A, NSCC-05</t>
  </si>
  <si>
    <t xml:space="preserve">SEC FTD data files</t>
  </si>
  <si>
    <t xml:space="preserve">Large files; aggregate to daily totals.</t>
  </si>
  <si>
    <t xml:space="preserve">NSCC and DTC monthly fail rates (history)</t>
  </si>
  <si>
    <t xml:space="preserve">ECS-NSCC-04, DTC-01</t>
  </si>
  <si>
    <t xml:space="preserve">DTCC Equities by the Numbers</t>
  </si>
  <si>
    <t xml:space="preserve">Only May-2024 and Aug-2026 snapshots so far.</t>
  </si>
  <si>
    <t xml:space="preserve">SEC 424B filing counts</t>
  </si>
  <si>
    <t xml:space="preserve">Weekly counts.</t>
  </si>
  <si>
    <t xml:space="preserve">DTCC Important Notices (outages, extended cutoffs)</t>
  </si>
  <si>
    <t xml:space="preserve">ECS-DTC-02A/B</t>
  </si>
  <si>
    <t xml:space="preserve">dtcc.com Important Notices</t>
  </si>
  <si>
    <t xml:space="preserve">Manual</t>
  </si>
  <si>
    <t xml:space="preserve">Needed as the DTC test variable.</t>
  </si>
  <si>
    <t xml:space="preserve">DTC Participants Fund / liquidity resources</t>
  </si>
  <si>
    <t xml:space="preserve">ECS-DTC-04 (vulnerability candidate)</t>
  </si>
  <si>
    <t xml:space="preserve">DTC quarterly financial statements (PDFs in repo)</t>
  </si>
  <si>
    <t xml:space="preserve">Possible DTC buffer since DTC has no PQD.</t>
  </si>
  <si>
    <t xml:space="preserve">ECS-NSCC-03A, DTC-02A/B, DTC-04</t>
  </si>
  <si>
    <t xml:space="preserve">SEC, DTCC notices, Fed reports, news</t>
  </si>
  <si>
    <t xml:space="preserve">Takes longest; e.g. Jan 2021 NSCC deposit calls.</t>
  </si>
  <si>
    <t xml:space="preserve">Scoring rubric for event-type chains</t>
  </si>
  <si>
    <t xml:space="preserve">ECS-NSCC-04, NSCC-05, DTC-01</t>
  </si>
  <si>
    <t xml:space="preserve">Model owner</t>
  </si>
  <si>
    <t xml:space="preserve">Same rubric as FICC event-type chains.</t>
  </si>
  <si>
    <t xml:space="preserve">#</t>
  </si>
  <si>
    <t xml:space="preserve">Question</t>
  </si>
  <si>
    <t xml:space="preserve">Why it matters</t>
  </si>
  <si>
    <t xml:space="preserve">Answer</t>
  </si>
  <si>
    <t xml:space="preserve">Agree that 01A (margin calls) is the R1 primary?</t>
  </si>
  <si>
    <t xml:space="preserve">Chosen before testing so we don't pick whichever option passes.</t>
  </si>
  <si>
    <t xml:space="preserve">Decided: keep VIX for R1 for now; S&amp;P 500 daily move is the backup.</t>
  </si>
  <si>
    <t xml:space="preserve">VIX failed Test 1 on Oct 6.</t>
  </si>
  <si>
    <t xml:space="preserve">Decided: keep ECS-DTC-03 in ECS for now.</t>
  </si>
  <si>
    <t xml:space="preserve">May move to Asset Services later.</t>
  </si>
  <si>
    <t xml:space="preserve">Do PQD 17.2/17.3 report NSCC separately, or DTCC-wide?</t>
  </si>
  <si>
    <t xml:space="preserve">Decides whether ECS-NSCC-02B is truly NSCC-specific.</t>
  </si>
  <si>
    <t xml:space="preserve">Use DTC's Participants Fund (from its financial statements) as a DTC vulnerability, or keep DTC as TBD?</t>
  </si>
  <si>
    <t xml:space="preserve">Without it, DTC chains score on shock only.</t>
  </si>
  <si>
    <t xml:space="preserve">Which leading signals (margin debt, short interest) are worth collecting now?</t>
  </si>
  <si>
    <t xml:space="preserve">They give earlier warning than VIX-style signals.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</si>
</sst>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5447"/>
      <name val="Arial"/>
      <family val="0"/>
      <charset val="1"/>
    </font>
    <font>
      <sz val="10"/>
      <color rgb="FF5F6B68"/>
      <name val="Arial"/>
      <family val="0"/>
      <charset val="1"/>
    </font>
    <font>
      <b val="true"/>
      <sz val="12"/>
      <color rgb="FF129B7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0E5447"/>
      <name val="Arial"/>
      <family val="0"/>
      <charset val="1"/>
    </font>
    <font>
      <sz val="9"/>
      <color rgb="FF5F6B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F6B6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C8DCD5"/>
      </patternFill>
    </fill>
    <fill>
      <patternFill patternType="solid">
        <fgColor rgb="FFFFF2CC"/>
        <bgColor rgb="FFFFF9DB"/>
      </patternFill>
    </fill>
    <fill>
      <patternFill patternType="solid">
        <fgColor rgb="FFF4CCCC"/>
        <bgColor rgb="FFC8DCD5"/>
      </patternFill>
    </fill>
    <fill>
      <patternFill patternType="solid">
        <fgColor rgb="FFF2F2F2"/>
        <bgColor rgb="FFFAFCFB"/>
      </patternFill>
    </fill>
    <fill>
      <patternFill patternType="solid">
        <fgColor rgb="FF0E5447"/>
        <bgColor rgb="FF333333"/>
      </patternFill>
    </fill>
    <fill>
      <patternFill patternType="solid">
        <fgColor rgb="FF129B76"/>
        <bgColor rgb="FF008080"/>
      </patternFill>
    </fill>
    <fill>
      <patternFill patternType="solid">
        <fgColor rgb="FFFFF9DB"/>
        <bgColor rgb="FFFFF2CC"/>
      </patternFill>
    </fill>
    <fill>
      <patternFill patternType="solid">
        <fgColor rgb="FFFAFC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CD5"/>
      </left>
      <right style="thin">
        <color rgb="FFC8DCD5"/>
      </right>
      <top style="thin">
        <color rgb="FFC8DCD5"/>
      </top>
      <bottom style="thin">
        <color rgb="FFC8DC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E5447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29B7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C8DC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CFB"/>
      <rgbColor rgb="FFD9EAD3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F6B68"/>
      <rgbColor rgb="FF969696"/>
      <rgbColor rgb="FF0E5447"/>
      <rgbColor rgb="FF129B7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447"/>
    <pageSetUpPr fitToPage="false"/>
  </sheetPr>
  <dimension ref="B2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35.05" hidden="false" customHeight="false" outlineLevel="0" collapsed="false">
      <c r="B10" s="4" t="s">
        <v>11</v>
      </c>
      <c r="C10" s="5" t="s">
        <v>12</v>
      </c>
    </row>
    <row r="12" customFormat="false" ht="15" hidden="false" customHeight="false" outlineLevel="0" collapsed="false">
      <c r="B12" s="3" t="s">
        <v>13</v>
      </c>
    </row>
    <row r="13" customFormat="false" ht="23.85" hidden="false" customHeight="false" outlineLevel="0" collapsed="false">
      <c r="B13" s="4" t="s">
        <v>14</v>
      </c>
      <c r="C13" s="5" t="s">
        <v>15</v>
      </c>
    </row>
    <row r="14" customFormat="false" ht="15" hidden="false" customHeight="false" outlineLevel="0" collapsed="false">
      <c r="B14" s="4" t="s">
        <v>16</v>
      </c>
      <c r="C14" s="5" t="s">
        <v>17</v>
      </c>
    </row>
    <row r="15" customFormat="false" ht="15" hidden="false" customHeight="false" outlineLevel="0" collapsed="false">
      <c r="B15" s="4" t="s">
        <v>18</v>
      </c>
      <c r="C15" s="5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false" outlineLevel="0" collapsed="false">
      <c r="B18" s="4" t="s">
        <v>21</v>
      </c>
      <c r="C18" s="5" t="s">
        <v>22</v>
      </c>
    </row>
    <row r="19" customFormat="false" ht="15" hidden="false" customHeight="false" outlineLevel="0" collapsed="false">
      <c r="B19" s="4" t="s">
        <v>23</v>
      </c>
      <c r="C19" s="5" t="s">
        <v>24</v>
      </c>
    </row>
    <row r="20" customFormat="false" ht="15" hidden="false" customHeight="false" outlineLevel="0" collapsed="false">
      <c r="B20" s="4" t="s">
        <v>25</v>
      </c>
      <c r="C20" s="5" t="s">
        <v>26</v>
      </c>
    </row>
    <row r="21" customFormat="false" ht="15" hidden="false" customHeight="false" outlineLevel="0" collapsed="false">
      <c r="B21" s="4" t="s">
        <v>27</v>
      </c>
      <c r="C21" s="5" t="s">
        <v>28</v>
      </c>
    </row>
    <row r="23" customFormat="false" ht="15" hidden="false" customHeight="false" outlineLevel="0" collapsed="false">
      <c r="B23" s="3" t="s">
        <v>29</v>
      </c>
    </row>
    <row r="24" customFormat="false" ht="15" hidden="false" customHeight="false" outlineLevel="0" collapsed="false">
      <c r="B24" s="6" t="s">
        <v>30</v>
      </c>
      <c r="C24" s="5" t="s">
        <v>31</v>
      </c>
    </row>
    <row r="25" customFormat="false" ht="15" hidden="false" customHeight="false" outlineLevel="0" collapsed="false">
      <c r="B25" s="7" t="s">
        <v>32</v>
      </c>
      <c r="C25" s="5" t="s">
        <v>33</v>
      </c>
    </row>
    <row r="26" customFormat="false" ht="15" hidden="false" customHeight="false" outlineLevel="0" collapsed="false">
      <c r="B26" s="8" t="s">
        <v>34</v>
      </c>
      <c r="C26" s="5" t="s">
        <v>35</v>
      </c>
    </row>
    <row r="27" customFormat="false" ht="15" hidden="false" customHeight="false" outlineLevel="0" collapsed="false">
      <c r="B27" s="9" t="s">
        <v>36</v>
      </c>
      <c r="C27" s="5" t="s">
        <v>37</v>
      </c>
    </row>
    <row r="29" customFormat="false" ht="15" hidden="false" customHeight="false" outlineLevel="0" collapsed="false">
      <c r="B29" s="3" t="s">
        <v>38</v>
      </c>
    </row>
    <row r="30" customFormat="false" ht="23.85" hidden="false" customHeight="false" outlineLevel="0" collapsed="false">
      <c r="B30" s="4" t="s">
        <v>39</v>
      </c>
      <c r="C30" s="5" t="s">
        <v>40</v>
      </c>
    </row>
    <row r="31" customFormat="false" ht="23.85" hidden="false" customHeight="false" outlineLevel="0" collapsed="false">
      <c r="B31" s="4" t="s">
        <v>41</v>
      </c>
      <c r="C31" s="5" t="s">
        <v>42</v>
      </c>
    </row>
    <row r="32" customFormat="false" ht="15" hidden="false" customHeight="false" outlineLevel="0" collapsed="false">
      <c r="B32" s="4" t="s">
        <v>43</v>
      </c>
      <c r="C32" s="5" t="s">
        <v>44</v>
      </c>
    </row>
    <row r="34" customFormat="false" ht="15" hidden="false" customHeight="false" outlineLevel="0" collapsed="false">
      <c r="B34" s="3" t="s">
        <v>45</v>
      </c>
    </row>
    <row r="35" customFormat="false" ht="23.85" hidden="false" customHeight="false" outlineLevel="0" collapsed="false">
      <c r="B35" s="4" t="s">
        <v>46</v>
      </c>
      <c r="C35" s="5" t="s">
        <v>47</v>
      </c>
    </row>
    <row r="36" customFormat="false" ht="15" hidden="false" customHeight="false" outlineLevel="0" collapsed="false">
      <c r="B36" s="4" t="s">
        <v>48</v>
      </c>
      <c r="C36" s="5" t="s">
        <v>49</v>
      </c>
    </row>
    <row r="37" customFormat="false" ht="15" hidden="false" customHeight="false" outlineLevel="0" collapsed="false">
      <c r="B37" s="4" t="s">
        <v>50</v>
      </c>
      <c r="C37" s="5" t="s">
        <v>51</v>
      </c>
    </row>
    <row r="38" customFormat="false" ht="15" hidden="false" customHeight="false" outlineLevel="0" collapsed="false">
      <c r="B38" s="4" t="s">
        <v>52</v>
      </c>
      <c r="C38" s="5" t="s">
        <v>53</v>
      </c>
    </row>
    <row r="39" customFormat="false" ht="15" hidden="false" customHeight="false" outlineLevel="0" collapsed="false">
      <c r="B39" s="4" t="s">
        <v>54</v>
      </c>
      <c r="C39" s="5" t="s">
        <v>55</v>
      </c>
    </row>
    <row r="40" customFormat="false" ht="15" hidden="false" customHeight="false" outlineLevel="0" collapsed="false">
      <c r="B40" s="4" t="s">
        <v>56</v>
      </c>
      <c r="C40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447"/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0" t="s">
        <v>48</v>
      </c>
    </row>
    <row r="3" customFormat="false" ht="15" hidden="false" customHeight="false" outlineLevel="0" collapsed="false">
      <c r="B3" s="11" t="s">
        <v>58</v>
      </c>
    </row>
    <row r="5" customFormat="false" ht="15" hidden="false" customHeight="false" outlineLevel="0" collapsed="false">
      <c r="B5" s="12" t="s">
        <v>59</v>
      </c>
      <c r="C5" s="12" t="s">
        <v>60</v>
      </c>
    </row>
    <row r="6" customFormat="false" ht="15" hidden="false" customHeight="false" outlineLevel="0" collapsed="false">
      <c r="B6" s="13" t="s">
        <v>61</v>
      </c>
      <c r="C6" s="14" t="n">
        <f aca="false">COUNTA(Chains!$A$3:$A$16)</f>
        <v>14</v>
      </c>
    </row>
    <row r="7" customFormat="false" ht="15" hidden="false" customHeight="false" outlineLevel="0" collapsed="false">
      <c r="B7" s="13" t="s">
        <v>62</v>
      </c>
      <c r="C7" s="14" t="n">
        <f aca="false">COUNTIF(Chains!$E$3:$E$16,"NSCC")</f>
        <v>9</v>
      </c>
    </row>
    <row r="8" customFormat="false" ht="15" hidden="false" customHeight="false" outlineLevel="0" collapsed="false">
      <c r="B8" s="13" t="s">
        <v>63</v>
      </c>
      <c r="C8" s="14" t="n">
        <f aca="false">COUNTIF(Chains!$E$3:$E$16,"DTC")</f>
        <v>5</v>
      </c>
    </row>
    <row r="9" customFormat="false" ht="15" hidden="false" customHeight="false" outlineLevel="0" collapsed="false">
      <c r="B9" s="13" t="s">
        <v>64</v>
      </c>
      <c r="C9" s="14" t="n">
        <f aca="false">COUNTIF(Chains!$F$3:$F$16,"With market indicator")</f>
        <v>11</v>
      </c>
    </row>
    <row r="10" customFormat="false" ht="15" hidden="false" customHeight="false" outlineLevel="0" collapsed="false">
      <c r="B10" s="13" t="s">
        <v>65</v>
      </c>
      <c r="C10" s="14" t="n">
        <f aca="false">COUNTIF(Chains!$F$3:$F$16,"Without market indicator")</f>
        <v>3</v>
      </c>
    </row>
    <row r="11" customFormat="false" ht="15" hidden="false" customHeight="false" outlineLevel="0" collapsed="false">
      <c r="B11" s="13" t="s">
        <v>66</v>
      </c>
      <c r="C11" s="14" t="n">
        <f aca="false">COUNTIF(Chains!$H$3:$H$16,"Core")</f>
        <v>6</v>
      </c>
    </row>
    <row r="12" customFormat="false" ht="15" hidden="false" customHeight="false" outlineLevel="0" collapsed="false">
      <c r="B12" s="13" t="s">
        <v>67</v>
      </c>
      <c r="C12" s="14" t="n">
        <f aca="false">COUNTIF(Chains!$H$3:$H$16,"Extension")</f>
        <v>8</v>
      </c>
    </row>
    <row r="14" customFormat="false" ht="15" hidden="false" customHeight="false" outlineLevel="0" collapsed="false">
      <c r="B14" s="12" t="s">
        <v>41</v>
      </c>
      <c r="C14" s="12" t="s">
        <v>60</v>
      </c>
    </row>
    <row r="15" customFormat="false" ht="15" hidden="false" customHeight="false" outlineLevel="0" collapsed="false">
      <c r="B15" s="13" t="s">
        <v>68</v>
      </c>
      <c r="C15" s="14" t="n">
        <f aca="false">COUNTIF(Chains!$AB$3:$AB$16,"Yes")</f>
        <v>4</v>
      </c>
    </row>
    <row r="16" customFormat="false" ht="15" hidden="false" customHeight="false" outlineLevel="0" collapsed="false">
      <c r="B16" s="13" t="s">
        <v>69</v>
      </c>
      <c r="C16" s="14" t="n">
        <f aca="false">COUNTIF(Chains!$AB$3:$AB$16,"After checks")</f>
        <v>2</v>
      </c>
    </row>
    <row r="17" customFormat="false" ht="15" hidden="false" customHeight="false" outlineLevel="0" collapsed="false">
      <c r="B17" s="13" t="s">
        <v>70</v>
      </c>
      <c r="C17" s="14" t="n">
        <f aca="false">COUNTIF(Chains!$AB$3:$AB$16,"No*")</f>
        <v>8</v>
      </c>
    </row>
    <row r="19" customFormat="false" ht="15" hidden="false" customHeight="false" outlineLevel="0" collapsed="false">
      <c r="B19" s="12" t="s">
        <v>71</v>
      </c>
      <c r="C19" s="12" t="s">
        <v>72</v>
      </c>
      <c r="D19" s="12" t="s">
        <v>73</v>
      </c>
      <c r="E19" s="12" t="s">
        <v>74</v>
      </c>
      <c r="F19" s="12" t="s">
        <v>75</v>
      </c>
    </row>
    <row r="20" customFormat="false" ht="15" hidden="false" customHeight="false" outlineLevel="0" collapsed="false">
      <c r="B20" s="13" t="s">
        <v>76</v>
      </c>
      <c r="C20" s="14" t="n">
        <f aca="false">COUNTIF(Chains!$AC$3:$AC$16,"PASS")</f>
        <v>0</v>
      </c>
      <c r="D20" s="14" t="n">
        <f aca="false">COUNTIF(Chains!$AC$3:$AC$16,"FAIL")</f>
        <v>0</v>
      </c>
      <c r="E20" s="14" t="n">
        <f aca="false">COUNTA(Chains!$AC$3:$AC$16)-C20-D20</f>
        <v>0</v>
      </c>
      <c r="F20" s="14" t="n">
        <f aca="false">COUNTA(Chains!$A$3:$A$16)-COUNTA(Chains!$AC$3:$AC$16)</f>
        <v>14</v>
      </c>
    </row>
    <row r="21" customFormat="false" ht="15" hidden="false" customHeight="false" outlineLevel="0" collapsed="false">
      <c r="B21" s="13" t="s">
        <v>77</v>
      </c>
      <c r="C21" s="14" t="n">
        <f aca="false">COUNTIF(Chains!$AD$3:$AD$16,"PASS")</f>
        <v>0</v>
      </c>
      <c r="D21" s="14" t="n">
        <f aca="false">COUNTIF(Chains!$AD$3:$AD$16,"FAIL")</f>
        <v>0</v>
      </c>
      <c r="E21" s="14" t="n">
        <f aca="false">COUNTA(Chains!$AD$3:$AD$16)-C21-D21</f>
        <v>0</v>
      </c>
      <c r="F21" s="14" t="n">
        <f aca="false">COUNTA(Chains!$A$3:$A$16)-COUNTA(Chains!$AD$3:$AD$16)</f>
        <v>14</v>
      </c>
    </row>
    <row r="23" customFormat="false" ht="15" hidden="false" customHeight="false" outlineLevel="0" collapsed="false">
      <c r="B23" s="12" t="s">
        <v>78</v>
      </c>
      <c r="C23" s="12" t="s">
        <v>60</v>
      </c>
    </row>
    <row r="24" customFormat="false" ht="15" hidden="false" customHeight="false" outlineLevel="0" collapsed="false">
      <c r="B24" s="13" t="s">
        <v>21</v>
      </c>
      <c r="C24" s="14" t="n">
        <f aca="false">COUNTIF(Chains!$AE$3:$AE$16,"High")</f>
        <v>0</v>
      </c>
    </row>
    <row r="25" customFormat="false" ht="15" hidden="false" customHeight="false" outlineLevel="0" collapsed="false">
      <c r="B25" s="13" t="s">
        <v>23</v>
      </c>
      <c r="C25" s="14" t="n">
        <f aca="false">COUNTIF(Chains!$AE$3:$AE$16,"Medium")</f>
        <v>0</v>
      </c>
    </row>
    <row r="26" customFormat="false" ht="15" hidden="false" customHeight="false" outlineLevel="0" collapsed="false">
      <c r="B26" s="13" t="s">
        <v>25</v>
      </c>
      <c r="C26" s="14" t="n">
        <f aca="false">COUNTIF(Chains!$AE$3:$AE$16,"Low/Medium")</f>
        <v>0</v>
      </c>
    </row>
    <row r="27" customFormat="false" ht="15" hidden="false" customHeight="false" outlineLevel="0" collapsed="false">
      <c r="B27" s="13" t="s">
        <v>27</v>
      </c>
      <c r="C27" s="14" t="n">
        <f aca="false">COUNTIF(Chains!$AE$3:$AE$16,"Revise or drop")</f>
        <v>0</v>
      </c>
    </row>
    <row r="29" customFormat="false" ht="15" hidden="false" customHeight="false" outlineLevel="0" collapsed="false">
      <c r="B29" s="12" t="s">
        <v>79</v>
      </c>
      <c r="C29" s="12" t="s">
        <v>30</v>
      </c>
      <c r="D29" s="12" t="s">
        <v>32</v>
      </c>
      <c r="E29" s="12" t="s">
        <v>34</v>
      </c>
      <c r="F29" s="12" t="s">
        <v>36</v>
      </c>
    </row>
    <row r="30" customFormat="false" ht="15" hidden="false" customHeight="false" outlineLevel="0" collapsed="false">
      <c r="B30" s="13" t="s">
        <v>80</v>
      </c>
      <c r="C30" s="14" t="n">
        <f aca="false">COUNTIF(Chains!$L$3:$L$16,"Have")+COUNTIF(Chains!$Q$3:$Q$16,"Have")+COUNTIF(Chains!$U$3:$U$16,"Have")</f>
        <v>17</v>
      </c>
      <c r="D30" s="14" t="n">
        <f aca="false">COUNTIF(Chains!$L$3:$L$16,"Partial")+COUNTIF(Chains!$Q$3:$Q$16,"Partial")+COUNTIF(Chains!$U$3:$U$16,"Partial")</f>
        <v>2</v>
      </c>
      <c r="E30" s="14" t="n">
        <f aca="false">COUNTIF(Chains!$L$3:$L$16,"Missing")+COUNTIF(Chains!$Q$3:$Q$16,"Missing")+COUNTIF(Chains!$U$3:$U$16,"Missing")</f>
        <v>20</v>
      </c>
      <c r="F30" s="14" t="n">
        <f aca="false">COUNTIF(Chains!$L$3:$L$16,"N/A")+COUNTIF(Chains!$Q$3:$Q$16,"N/A")+COUNTIF(Chains!$U$3:$U$16,"N/A")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447"/>
    <pageSetUpPr fitToPage="false"/>
  </sheetPr>
  <dimension ref="A1:A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42"/>
    <col collapsed="false" customWidth="true" hidden="false" outlineLevel="0" max="14" min="14" style="0" width="24"/>
    <col collapsed="false" customWidth="true" hidden="false" outlineLevel="0" max="15" min="15" style="0" width="32"/>
    <col collapsed="false" customWidth="true" hidden="false" outlineLevel="0" max="16" min="16" style="0" width="26"/>
    <col collapsed="false" customWidth="true" hidden="false" outlineLevel="0" max="17" min="17" style="0" width="11"/>
    <col collapsed="false" customWidth="true" hidden="false" outlineLevel="0" max="18" min="18" style="0" width="32"/>
    <col collapsed="false" customWidth="true" hidden="false" outlineLevel="0" max="19" min="19" style="0" width="26"/>
    <col collapsed="false" customWidth="true" hidden="false" outlineLevel="0" max="20" min="20" style="0" width="16"/>
    <col collapsed="false" customWidth="true" hidden="false" outlineLevel="0" max="21" min="21" style="0" width="11"/>
    <col collapsed="false" customWidth="true" hidden="false" outlineLevel="0" max="23" min="22" style="0" width="34"/>
    <col collapsed="false" customWidth="true" hidden="false" outlineLevel="0" max="25" min="24" style="0" width="44"/>
    <col collapsed="false" customWidth="true" hidden="false" outlineLevel="0" max="27" min="26" style="0" width="32"/>
    <col collapsed="false" customWidth="true" hidden="false" outlineLevel="0" max="28" min="28" style="0" width="16"/>
    <col collapsed="false" customWidth="true" hidden="false" outlineLevel="0" max="29" min="29" style="0" width="12"/>
    <col collapsed="false" customWidth="true" hidden="false" outlineLevel="0" max="30" min="30" style="0" width="15"/>
    <col collapsed="false" customWidth="true" hidden="false" outlineLevel="0" max="31" min="31" style="0" width="14"/>
    <col collapsed="false" customWidth="true" hidden="false" outlineLevel="0" max="33" min="32" style="0" width="11"/>
    <col collapsed="false" customWidth="true" hidden="false" outlineLevel="0" max="34" min="34" style="0" width="26"/>
  </cols>
  <sheetData>
    <row r="1" customFormat="false" ht="15" hidden="false" customHeight="true" outlineLevel="0" collapsed="false">
      <c r="A1" s="15" t="s">
        <v>81</v>
      </c>
      <c r="B1" s="15"/>
      <c r="C1" s="15"/>
      <c r="D1" s="15"/>
      <c r="E1" s="15"/>
      <c r="F1" s="15"/>
      <c r="G1" s="15"/>
      <c r="H1" s="15"/>
      <c r="I1" s="15" t="s">
        <v>82</v>
      </c>
      <c r="J1" s="15"/>
      <c r="K1" s="15"/>
      <c r="L1" s="15"/>
      <c r="M1" s="16" t="s">
        <v>83</v>
      </c>
      <c r="N1" s="15" t="s">
        <v>84</v>
      </c>
      <c r="O1" s="15"/>
      <c r="P1" s="15"/>
      <c r="Q1" s="15"/>
      <c r="R1" s="15"/>
      <c r="S1" s="15"/>
      <c r="T1" s="15"/>
      <c r="U1" s="15"/>
      <c r="V1" s="15" t="s">
        <v>85</v>
      </c>
      <c r="W1" s="15"/>
      <c r="X1" s="15"/>
      <c r="Y1" s="15"/>
      <c r="Z1" s="15"/>
      <c r="AA1" s="15"/>
      <c r="AB1" s="17" t="s">
        <v>86</v>
      </c>
      <c r="AC1" s="17"/>
      <c r="AD1" s="17"/>
      <c r="AE1" s="17"/>
      <c r="AF1" s="17"/>
      <c r="AG1" s="17"/>
      <c r="AH1" s="17"/>
    </row>
    <row r="2" customFormat="false" ht="43.5" hidden="false" customHeight="true" outlineLevel="0" collapsed="false">
      <c r="A2" s="12" t="s">
        <v>87</v>
      </c>
      <c r="B2" s="12" t="s">
        <v>88</v>
      </c>
      <c r="C2" s="12" t="s">
        <v>89</v>
      </c>
      <c r="D2" s="12" t="s">
        <v>90</v>
      </c>
      <c r="E2" s="12" t="s">
        <v>91</v>
      </c>
      <c r="F2" s="12" t="s">
        <v>92</v>
      </c>
      <c r="G2" s="12" t="s">
        <v>93</v>
      </c>
      <c r="H2" s="12" t="s">
        <v>94</v>
      </c>
      <c r="I2" s="12" t="s">
        <v>95</v>
      </c>
      <c r="J2" s="12" t="s">
        <v>96</v>
      </c>
      <c r="K2" s="12" t="s">
        <v>97</v>
      </c>
      <c r="L2" s="12" t="s">
        <v>98</v>
      </c>
      <c r="M2" s="12" t="s">
        <v>99</v>
      </c>
      <c r="N2" s="12" t="s">
        <v>100</v>
      </c>
      <c r="O2" s="12" t="s">
        <v>101</v>
      </c>
      <c r="P2" s="12" t="s">
        <v>102</v>
      </c>
      <c r="Q2" s="12" t="s">
        <v>103</v>
      </c>
      <c r="R2" s="12" t="s">
        <v>104</v>
      </c>
      <c r="S2" s="12" t="s">
        <v>105</v>
      </c>
      <c r="T2" s="12" t="s">
        <v>106</v>
      </c>
      <c r="U2" s="12" t="s">
        <v>107</v>
      </c>
      <c r="V2" s="12" t="s">
        <v>108</v>
      </c>
      <c r="W2" s="12" t="s">
        <v>109</v>
      </c>
      <c r="X2" s="12" t="s">
        <v>110</v>
      </c>
      <c r="Y2" s="12" t="s">
        <v>111</v>
      </c>
      <c r="Z2" s="12" t="s">
        <v>112</v>
      </c>
      <c r="AA2" s="12" t="s">
        <v>113</v>
      </c>
      <c r="AB2" s="18" t="s">
        <v>41</v>
      </c>
      <c r="AC2" s="18" t="s">
        <v>114</v>
      </c>
      <c r="AD2" s="18" t="s">
        <v>115</v>
      </c>
      <c r="AE2" s="18" t="s">
        <v>78</v>
      </c>
      <c r="AF2" s="18" t="s">
        <v>116</v>
      </c>
      <c r="AG2" s="18" t="s">
        <v>117</v>
      </c>
      <c r="AH2" s="18" t="s">
        <v>118</v>
      </c>
    </row>
    <row r="3" customFormat="false" ht="150" hidden="false" customHeight="true" outlineLevel="0" collapsed="false">
      <c r="A3" s="19" t="s">
        <v>119</v>
      </c>
      <c r="B3" s="20" t="s">
        <v>120</v>
      </c>
      <c r="C3" s="20" t="s">
        <v>121</v>
      </c>
      <c r="D3" s="19" t="s">
        <v>122</v>
      </c>
      <c r="E3" s="20" t="s">
        <v>123</v>
      </c>
      <c r="F3" s="20" t="s">
        <v>64</v>
      </c>
      <c r="G3" s="20" t="s">
        <v>124</v>
      </c>
      <c r="H3" s="20" t="s">
        <v>125</v>
      </c>
      <c r="I3" s="20" t="s">
        <v>126</v>
      </c>
      <c r="J3" s="20" t="s">
        <v>127</v>
      </c>
      <c r="K3" s="20" t="s">
        <v>128</v>
      </c>
      <c r="L3" s="21" t="s">
        <v>30</v>
      </c>
      <c r="M3" s="20" t="s">
        <v>129</v>
      </c>
      <c r="N3" s="20" t="s">
        <v>130</v>
      </c>
      <c r="O3" s="20" t="s">
        <v>131</v>
      </c>
      <c r="P3" s="20" t="s">
        <v>132</v>
      </c>
      <c r="Q3" s="21" t="s">
        <v>30</v>
      </c>
      <c r="R3" s="20" t="s">
        <v>133</v>
      </c>
      <c r="S3" s="20" t="s">
        <v>134</v>
      </c>
      <c r="T3" s="20" t="s">
        <v>135</v>
      </c>
      <c r="U3" s="21" t="s">
        <v>30</v>
      </c>
      <c r="V3" s="20" t="s">
        <v>136</v>
      </c>
      <c r="W3" s="20" t="s">
        <v>137</v>
      </c>
      <c r="X3" s="20" t="s">
        <v>138</v>
      </c>
      <c r="Y3" s="20" t="s">
        <v>139</v>
      </c>
      <c r="Z3" s="20" t="s">
        <v>140</v>
      </c>
      <c r="AA3" s="20" t="s">
        <v>141</v>
      </c>
      <c r="AB3" s="22" t="str">
        <f aca="false">IF(COUNTIF(L3,"Missing")+COUNTIF(Q3,"Missing")&gt;0,"No: "&amp;(COUNTIF(L3,"Missing")+COUNTIF(Q3,"Missing"))&amp;" missing",IF(COUNTIF(L3,"Partial")+COUNTIF(Q3,"Partial")&gt;0,"After checks","Yes"))</f>
        <v>Yes</v>
      </c>
      <c r="AC3" s="23"/>
      <c r="AD3" s="23"/>
      <c r="AE3" s="22" t="str">
        <f aca="false">IF(OR(AC3="",AD3=""),"",IF(OR(AC3="FAIL",AD3="WRONG DIRECTION"),"Revise or drop",IF(F3="Without market indicator","Low/Medium",IF(AND(AC3="PASS",AD3="PASS"),"High",IF(AND(AC3="PASS",AD3="INCONCLUSIVE"),"Medium","Low/Medium")))))</f>
        <v/>
      </c>
      <c r="AF3" s="23"/>
      <c r="AG3" s="23"/>
      <c r="AH3" s="24"/>
    </row>
    <row r="4" customFormat="false" ht="150" hidden="false" customHeight="true" outlineLevel="0" collapsed="false">
      <c r="A4" s="25" t="s">
        <v>142</v>
      </c>
      <c r="B4" s="26" t="s">
        <v>120</v>
      </c>
      <c r="C4" s="26" t="s">
        <v>143</v>
      </c>
      <c r="D4" s="25" t="s">
        <v>144</v>
      </c>
      <c r="E4" s="26" t="s">
        <v>123</v>
      </c>
      <c r="F4" s="26" t="s">
        <v>64</v>
      </c>
      <c r="G4" s="26" t="s">
        <v>145</v>
      </c>
      <c r="H4" s="26" t="s">
        <v>146</v>
      </c>
      <c r="I4" s="26" t="s">
        <v>126</v>
      </c>
      <c r="J4" s="26" t="s">
        <v>127</v>
      </c>
      <c r="K4" s="26" t="s">
        <v>128</v>
      </c>
      <c r="L4" s="27" t="s">
        <v>30</v>
      </c>
      <c r="M4" s="26" t="s">
        <v>147</v>
      </c>
      <c r="N4" s="26" t="s">
        <v>148</v>
      </c>
      <c r="O4" s="26" t="s">
        <v>149</v>
      </c>
      <c r="P4" s="26" t="s">
        <v>150</v>
      </c>
      <c r="Q4" s="27" t="s">
        <v>30</v>
      </c>
      <c r="R4" s="26" t="s">
        <v>151</v>
      </c>
      <c r="S4" s="26" t="s">
        <v>152</v>
      </c>
      <c r="T4" s="26" t="s">
        <v>135</v>
      </c>
      <c r="U4" s="27" t="s">
        <v>30</v>
      </c>
      <c r="V4" s="26" t="s">
        <v>136</v>
      </c>
      <c r="W4" s="26" t="s">
        <v>153</v>
      </c>
      <c r="X4" s="26" t="s">
        <v>138</v>
      </c>
      <c r="Y4" s="26" t="s">
        <v>139</v>
      </c>
      <c r="Z4" s="26" t="s">
        <v>154</v>
      </c>
      <c r="AA4" s="26" t="s">
        <v>155</v>
      </c>
      <c r="AB4" s="22" t="str">
        <f aca="false">IF(COUNTIF(L4,"Missing")+COUNTIF(Q4,"Missing")&gt;0,"No: "&amp;(COUNTIF(L4,"Missing")+COUNTIF(Q4,"Missing"))&amp;" missing",IF(COUNTIF(L4,"Partial")+COUNTIF(Q4,"Partial")&gt;0,"After checks","Yes"))</f>
        <v>Yes</v>
      </c>
      <c r="AC4" s="23"/>
      <c r="AD4" s="23"/>
      <c r="AE4" s="22" t="str">
        <f aca="false">IF(OR(AC4="",AD4=""),"",IF(OR(AC4="FAIL",AD4="WRONG DIRECTION"),"Revise or drop",IF(F4="Without market indicator","Low/Medium",IF(AND(AC4="PASS",AD4="PASS"),"High",IF(AND(AC4="PASS",AD4="INCONCLUSIVE"),"Medium","Low/Medium")))))</f>
        <v/>
      </c>
      <c r="AF4" s="23"/>
      <c r="AG4" s="23"/>
      <c r="AH4" s="24"/>
    </row>
    <row r="5" customFormat="false" ht="150" hidden="false" customHeight="true" outlineLevel="0" collapsed="false">
      <c r="A5" s="19" t="s">
        <v>156</v>
      </c>
      <c r="B5" s="20" t="s">
        <v>120</v>
      </c>
      <c r="C5" s="20" t="s">
        <v>157</v>
      </c>
      <c r="D5" s="19" t="s">
        <v>158</v>
      </c>
      <c r="E5" s="20" t="s">
        <v>123</v>
      </c>
      <c r="F5" s="20" t="s">
        <v>64</v>
      </c>
      <c r="G5" s="20" t="s">
        <v>159</v>
      </c>
      <c r="H5" s="20" t="s">
        <v>146</v>
      </c>
      <c r="I5" s="20" t="s">
        <v>126</v>
      </c>
      <c r="J5" s="20" t="s">
        <v>127</v>
      </c>
      <c r="K5" s="20" t="s">
        <v>128</v>
      </c>
      <c r="L5" s="21" t="s">
        <v>30</v>
      </c>
      <c r="M5" s="20" t="s">
        <v>160</v>
      </c>
      <c r="N5" s="20" t="s">
        <v>161</v>
      </c>
      <c r="O5" s="20" t="s">
        <v>162</v>
      </c>
      <c r="P5" s="20" t="s">
        <v>163</v>
      </c>
      <c r="Q5" s="21" t="s">
        <v>30</v>
      </c>
      <c r="R5" s="20" t="s">
        <v>164</v>
      </c>
      <c r="S5" s="20" t="s">
        <v>165</v>
      </c>
      <c r="T5" s="20" t="s">
        <v>135</v>
      </c>
      <c r="U5" s="21" t="s">
        <v>30</v>
      </c>
      <c r="V5" s="20" t="s">
        <v>136</v>
      </c>
      <c r="W5" s="20" t="s">
        <v>166</v>
      </c>
      <c r="X5" s="20" t="s">
        <v>138</v>
      </c>
      <c r="Y5" s="20" t="s">
        <v>139</v>
      </c>
      <c r="Z5" s="20" t="s">
        <v>167</v>
      </c>
      <c r="AA5" s="20" t="s">
        <v>168</v>
      </c>
      <c r="AB5" s="22" t="str">
        <f aca="false">IF(COUNTIF(L5,"Missing")+COUNTIF(Q5,"Missing")&gt;0,"No: "&amp;(COUNTIF(L5,"Missing")+COUNTIF(Q5,"Missing"))&amp;" missing",IF(COUNTIF(L5,"Partial")+COUNTIF(Q5,"Partial")&gt;0,"After checks","Yes"))</f>
        <v>Yes</v>
      </c>
      <c r="AC5" s="23"/>
      <c r="AD5" s="23"/>
      <c r="AE5" s="22" t="str">
        <f aca="false">IF(OR(AC5="",AD5=""),"",IF(OR(AC5="FAIL",AD5="WRONG DIRECTION"),"Revise or drop",IF(F5="Without market indicator","Low/Medium",IF(AND(AC5="PASS",AD5="PASS"),"High",IF(AND(AC5="PASS",AD5="INCONCLUSIVE"),"Medium","Low/Medium")))))</f>
        <v/>
      </c>
      <c r="AF5" s="23"/>
      <c r="AG5" s="23"/>
      <c r="AH5" s="24"/>
    </row>
    <row r="6" customFormat="false" ht="150" hidden="false" customHeight="true" outlineLevel="0" collapsed="false">
      <c r="A6" s="25" t="s">
        <v>169</v>
      </c>
      <c r="B6" s="26" t="s">
        <v>170</v>
      </c>
      <c r="C6" s="26" t="s">
        <v>121</v>
      </c>
      <c r="D6" s="25" t="s">
        <v>171</v>
      </c>
      <c r="E6" s="26" t="s">
        <v>123</v>
      </c>
      <c r="F6" s="26" t="s">
        <v>64</v>
      </c>
      <c r="G6" s="26" t="s">
        <v>172</v>
      </c>
      <c r="H6" s="26" t="s">
        <v>125</v>
      </c>
      <c r="I6" s="26" t="s">
        <v>173</v>
      </c>
      <c r="J6" s="26" t="s">
        <v>174</v>
      </c>
      <c r="K6" s="26" t="s">
        <v>175</v>
      </c>
      <c r="L6" s="27" t="s">
        <v>34</v>
      </c>
      <c r="M6" s="26" t="s">
        <v>176</v>
      </c>
      <c r="N6" s="26" t="s">
        <v>177</v>
      </c>
      <c r="O6" s="26" t="s">
        <v>178</v>
      </c>
      <c r="P6" s="26" t="s">
        <v>179</v>
      </c>
      <c r="Q6" s="27" t="s">
        <v>34</v>
      </c>
      <c r="R6" s="26" t="s">
        <v>180</v>
      </c>
      <c r="S6" s="26" t="s">
        <v>181</v>
      </c>
      <c r="T6" s="26" t="s">
        <v>182</v>
      </c>
      <c r="U6" s="27" t="s">
        <v>34</v>
      </c>
      <c r="V6" s="26" t="s">
        <v>183</v>
      </c>
      <c r="W6" s="26" t="s">
        <v>184</v>
      </c>
      <c r="X6" s="26" t="s">
        <v>138</v>
      </c>
      <c r="Y6" s="26" t="s">
        <v>185</v>
      </c>
      <c r="Z6" s="26" t="s">
        <v>186</v>
      </c>
      <c r="AA6" s="26" t="s">
        <v>187</v>
      </c>
      <c r="AB6" s="22" t="str">
        <f aca="false">IF(COUNTIF(L6,"Missing")+COUNTIF(Q6,"Missing")&gt;0,"No: "&amp;(COUNTIF(L6,"Missing")+COUNTIF(Q6,"Missing"))&amp;" missing",IF(COUNTIF(L6,"Partial")+COUNTIF(Q6,"Partial")&gt;0,"After checks","Yes"))</f>
        <v>No: 2 missing</v>
      </c>
      <c r="AC6" s="23"/>
      <c r="AD6" s="23"/>
      <c r="AE6" s="22" t="str">
        <f aca="false">IF(OR(AC6="",AD6=""),"",IF(OR(AC6="FAIL",AD6="WRONG DIRECTION"),"Revise or drop",IF(F6="Without market indicator","Low/Medium",IF(AND(AC6="PASS",AD6="PASS"),"High",IF(AND(AC6="PASS",AD6="INCONCLUSIVE"),"Medium","Low/Medium")))))</f>
        <v/>
      </c>
      <c r="AF6" s="23"/>
      <c r="AG6" s="23"/>
      <c r="AH6" s="24"/>
    </row>
    <row r="7" customFormat="false" ht="150" hidden="false" customHeight="true" outlineLevel="0" collapsed="false">
      <c r="A7" s="19" t="s">
        <v>188</v>
      </c>
      <c r="B7" s="20" t="s">
        <v>170</v>
      </c>
      <c r="C7" s="20" t="s">
        <v>143</v>
      </c>
      <c r="D7" s="19" t="s">
        <v>189</v>
      </c>
      <c r="E7" s="20" t="s">
        <v>123</v>
      </c>
      <c r="F7" s="20" t="s">
        <v>64</v>
      </c>
      <c r="G7" s="20" t="s">
        <v>172</v>
      </c>
      <c r="H7" s="20" t="s">
        <v>146</v>
      </c>
      <c r="I7" s="20" t="s">
        <v>173</v>
      </c>
      <c r="J7" s="20" t="s">
        <v>174</v>
      </c>
      <c r="K7" s="20" t="s">
        <v>175</v>
      </c>
      <c r="L7" s="21" t="s">
        <v>34</v>
      </c>
      <c r="M7" s="20" t="s">
        <v>190</v>
      </c>
      <c r="N7" s="20" t="s">
        <v>191</v>
      </c>
      <c r="O7" s="20" t="s">
        <v>192</v>
      </c>
      <c r="P7" s="20" t="s">
        <v>193</v>
      </c>
      <c r="Q7" s="21" t="s">
        <v>34</v>
      </c>
      <c r="R7" s="20" t="s">
        <v>194</v>
      </c>
      <c r="S7" s="20" t="s">
        <v>195</v>
      </c>
      <c r="T7" s="20" t="s">
        <v>196</v>
      </c>
      <c r="U7" s="21" t="s">
        <v>34</v>
      </c>
      <c r="V7" s="20" t="s">
        <v>197</v>
      </c>
      <c r="W7" s="20" t="s">
        <v>184</v>
      </c>
      <c r="X7" s="20" t="s">
        <v>138</v>
      </c>
      <c r="Y7" s="20" t="s">
        <v>139</v>
      </c>
      <c r="Z7" s="20" t="s">
        <v>198</v>
      </c>
      <c r="AA7" s="20" t="s">
        <v>199</v>
      </c>
      <c r="AB7" s="22" t="str">
        <f aca="false">IF(COUNTIF(L7,"Missing")+COUNTIF(Q7,"Missing")&gt;0,"No: "&amp;(COUNTIF(L7,"Missing")+COUNTIF(Q7,"Missing"))&amp;" missing",IF(COUNTIF(L7,"Partial")+COUNTIF(Q7,"Partial")&gt;0,"After checks","Yes"))</f>
        <v>No: 2 missing</v>
      </c>
      <c r="AC7" s="23"/>
      <c r="AD7" s="23"/>
      <c r="AE7" s="22" t="str">
        <f aca="false">IF(OR(AC7="",AD7=""),"",IF(OR(AC7="FAIL",AD7="WRONG DIRECTION"),"Revise or drop",IF(F7="Without market indicator","Low/Medium",IF(AND(AC7="PASS",AD7="PASS"),"High",IF(AND(AC7="PASS",AD7="INCONCLUSIVE"),"Medium","Low/Medium")))))</f>
        <v/>
      </c>
      <c r="AF7" s="23"/>
      <c r="AG7" s="23"/>
      <c r="AH7" s="24"/>
    </row>
    <row r="8" customFormat="false" ht="150" hidden="false" customHeight="true" outlineLevel="0" collapsed="false">
      <c r="A8" s="25" t="s">
        <v>200</v>
      </c>
      <c r="B8" s="26" t="s">
        <v>201</v>
      </c>
      <c r="C8" s="26" t="s">
        <v>202</v>
      </c>
      <c r="D8" s="25" t="s">
        <v>203</v>
      </c>
      <c r="E8" s="26" t="s">
        <v>123</v>
      </c>
      <c r="F8" s="26" t="s">
        <v>64</v>
      </c>
      <c r="G8" s="26" t="s">
        <v>159</v>
      </c>
      <c r="H8" s="26" t="s">
        <v>125</v>
      </c>
      <c r="I8" s="26" t="s">
        <v>204</v>
      </c>
      <c r="J8" s="26" t="s">
        <v>205</v>
      </c>
      <c r="K8" s="26" t="s">
        <v>206</v>
      </c>
      <c r="L8" s="27" t="s">
        <v>30</v>
      </c>
      <c r="M8" s="26" t="s">
        <v>207</v>
      </c>
      <c r="N8" s="26" t="s">
        <v>208</v>
      </c>
      <c r="O8" s="26" t="s">
        <v>209</v>
      </c>
      <c r="P8" s="26" t="s">
        <v>210</v>
      </c>
      <c r="Q8" s="27" t="s">
        <v>34</v>
      </c>
      <c r="R8" s="26" t="s">
        <v>211</v>
      </c>
      <c r="S8" s="26" t="s">
        <v>212</v>
      </c>
      <c r="T8" s="26" t="s">
        <v>135</v>
      </c>
      <c r="U8" s="27" t="s">
        <v>30</v>
      </c>
      <c r="V8" s="26" t="s">
        <v>213</v>
      </c>
      <c r="W8" s="26" t="s">
        <v>214</v>
      </c>
      <c r="X8" s="26" t="s">
        <v>215</v>
      </c>
      <c r="Y8" s="26" t="s">
        <v>216</v>
      </c>
      <c r="Z8" s="26" t="s">
        <v>217</v>
      </c>
      <c r="AA8" s="26" t="s">
        <v>218</v>
      </c>
      <c r="AB8" s="22" t="str">
        <f aca="false">IF(COUNTIF(L8,"Missing")+COUNTIF(Q8,"Missing")&gt;0,"No: "&amp;(COUNTIF(L8,"Missing")+COUNTIF(Q8,"Missing"))&amp;" missing",IF(COUNTIF(L8,"Partial")+COUNTIF(Q8,"Partial")&gt;0,"After checks","Yes"))</f>
        <v>No: 1 missing</v>
      </c>
      <c r="AC8" s="23"/>
      <c r="AD8" s="23"/>
      <c r="AE8" s="22" t="str">
        <f aca="false">IF(OR(AC8="",AD8=""),"",IF(OR(AC8="FAIL",AD8="WRONG DIRECTION"),"Revise or drop",IF(F8="Without market indicator","Low/Medium",IF(AND(AC8="PASS",AD8="PASS"),"High",IF(AND(AC8="PASS",AD8="INCONCLUSIVE"),"Medium","Low/Medium")))))</f>
        <v/>
      </c>
      <c r="AF8" s="23"/>
      <c r="AG8" s="23"/>
      <c r="AH8" s="24"/>
    </row>
    <row r="9" customFormat="false" ht="150" hidden="false" customHeight="true" outlineLevel="0" collapsed="false">
      <c r="A9" s="19" t="s">
        <v>219</v>
      </c>
      <c r="B9" s="20" t="s">
        <v>201</v>
      </c>
      <c r="C9" s="20" t="s">
        <v>143</v>
      </c>
      <c r="D9" s="19" t="s">
        <v>220</v>
      </c>
      <c r="E9" s="20" t="s">
        <v>123</v>
      </c>
      <c r="F9" s="20" t="s">
        <v>64</v>
      </c>
      <c r="G9" s="20" t="s">
        <v>145</v>
      </c>
      <c r="H9" s="20" t="s">
        <v>125</v>
      </c>
      <c r="I9" s="20" t="s">
        <v>221</v>
      </c>
      <c r="J9" s="20" t="s">
        <v>222</v>
      </c>
      <c r="K9" s="20" t="s">
        <v>223</v>
      </c>
      <c r="L9" s="21" t="s">
        <v>30</v>
      </c>
      <c r="M9" s="20" t="s">
        <v>224</v>
      </c>
      <c r="N9" s="20" t="s">
        <v>225</v>
      </c>
      <c r="O9" s="20" t="s">
        <v>226</v>
      </c>
      <c r="P9" s="20" t="s">
        <v>227</v>
      </c>
      <c r="Q9" s="21" t="s">
        <v>30</v>
      </c>
      <c r="R9" s="20" t="s">
        <v>151</v>
      </c>
      <c r="S9" s="20" t="s">
        <v>152</v>
      </c>
      <c r="T9" s="20" t="s">
        <v>135</v>
      </c>
      <c r="U9" s="21" t="s">
        <v>30</v>
      </c>
      <c r="V9" s="20" t="s">
        <v>228</v>
      </c>
      <c r="W9" s="20" t="s">
        <v>229</v>
      </c>
      <c r="X9" s="20" t="s">
        <v>215</v>
      </c>
      <c r="Y9" s="20" t="s">
        <v>139</v>
      </c>
      <c r="Z9" s="20" t="s">
        <v>230</v>
      </c>
      <c r="AA9" s="20" t="s">
        <v>231</v>
      </c>
      <c r="AB9" s="22" t="str">
        <f aca="false">IF(COUNTIF(L9,"Missing")+COUNTIF(Q9,"Missing")&gt;0,"No: "&amp;(COUNTIF(L9,"Missing")+COUNTIF(Q9,"Missing"))&amp;" missing",IF(COUNTIF(L9,"Partial")+COUNTIF(Q9,"Partial")&gt;0,"After checks","Yes"))</f>
        <v>Yes</v>
      </c>
      <c r="AC9" s="23"/>
      <c r="AD9" s="23"/>
      <c r="AE9" s="22" t="str">
        <f aca="false">IF(OR(AC9="",AD9=""),"",IF(OR(AC9="FAIL",AD9="WRONG DIRECTION"),"Revise or drop",IF(F9="Without market indicator","Low/Medium",IF(AND(AC9="PASS",AD9="PASS"),"High",IF(AND(AC9="PASS",AD9="INCONCLUSIVE"),"Medium","Low/Medium")))))</f>
        <v/>
      </c>
      <c r="AF9" s="23"/>
      <c r="AG9" s="23"/>
      <c r="AH9" s="24"/>
    </row>
    <row r="10" customFormat="false" ht="150" hidden="false" customHeight="true" outlineLevel="0" collapsed="false">
      <c r="A10" s="25" t="s">
        <v>232</v>
      </c>
      <c r="B10" s="26" t="s">
        <v>233</v>
      </c>
      <c r="C10" s="26" t="s">
        <v>182</v>
      </c>
      <c r="D10" s="25" t="s">
        <v>234</v>
      </c>
      <c r="E10" s="26" t="s">
        <v>123</v>
      </c>
      <c r="F10" s="26" t="s">
        <v>65</v>
      </c>
      <c r="G10" s="26" t="s">
        <v>235</v>
      </c>
      <c r="H10" s="26" t="s">
        <v>125</v>
      </c>
      <c r="I10" s="26" t="s">
        <v>236</v>
      </c>
      <c r="J10" s="26" t="s">
        <v>237</v>
      </c>
      <c r="K10" s="26" t="s">
        <v>36</v>
      </c>
      <c r="L10" s="27" t="s">
        <v>36</v>
      </c>
      <c r="M10" s="26" t="s">
        <v>238</v>
      </c>
      <c r="N10" s="26" t="s">
        <v>239</v>
      </c>
      <c r="O10" s="26" t="s">
        <v>240</v>
      </c>
      <c r="P10" s="26" t="s">
        <v>241</v>
      </c>
      <c r="Q10" s="27" t="s">
        <v>32</v>
      </c>
      <c r="R10" s="26" t="s">
        <v>181</v>
      </c>
      <c r="S10" s="26" t="s">
        <v>242</v>
      </c>
      <c r="T10" s="26" t="s">
        <v>182</v>
      </c>
      <c r="U10" s="27" t="s">
        <v>34</v>
      </c>
      <c r="V10" s="26" t="s">
        <v>243</v>
      </c>
      <c r="W10" s="26" t="s">
        <v>244</v>
      </c>
      <c r="X10" s="26" t="s">
        <v>245</v>
      </c>
      <c r="Y10" s="26" t="s">
        <v>246</v>
      </c>
      <c r="Z10" s="26" t="s">
        <v>247</v>
      </c>
      <c r="AA10" s="26" t="s">
        <v>248</v>
      </c>
      <c r="AB10" s="22" t="str">
        <f aca="false">IF(COUNTIF(L10,"Missing")+COUNTIF(Q10,"Missing")&gt;0,"No: "&amp;(COUNTIF(L10,"Missing")+COUNTIF(Q10,"Missing"))&amp;" missing",IF(COUNTIF(L10,"Partial")+COUNTIF(Q10,"Partial")&gt;0,"After checks","Yes"))</f>
        <v>After checks</v>
      </c>
      <c r="AC10" s="23"/>
      <c r="AD10" s="23"/>
      <c r="AE10" s="22" t="str">
        <f aca="false">IF(OR(AC10="",AD10=""),"",IF(OR(AC10="FAIL",AD10="WRONG DIRECTION"),"Revise or drop",IF(F10="Without market indicator","Low/Medium",IF(AND(AC10="PASS",AD10="PASS"),"High",IF(AND(AC10="PASS",AD10="INCONCLUSIVE"),"Medium","Low/Medium")))))</f>
        <v/>
      </c>
      <c r="AF10" s="23"/>
      <c r="AG10" s="23"/>
      <c r="AH10" s="24"/>
    </row>
    <row r="11" customFormat="false" ht="150" hidden="false" customHeight="true" outlineLevel="0" collapsed="false">
      <c r="A11" s="19" t="s">
        <v>249</v>
      </c>
      <c r="B11" s="20" t="s">
        <v>250</v>
      </c>
      <c r="C11" s="20" t="s">
        <v>182</v>
      </c>
      <c r="D11" s="19" t="s">
        <v>251</v>
      </c>
      <c r="E11" s="20" t="s">
        <v>123</v>
      </c>
      <c r="F11" s="20" t="s">
        <v>65</v>
      </c>
      <c r="G11" s="20" t="s">
        <v>172</v>
      </c>
      <c r="H11" s="20" t="s">
        <v>146</v>
      </c>
      <c r="I11" s="20" t="s">
        <v>252</v>
      </c>
      <c r="J11" s="20" t="s">
        <v>253</v>
      </c>
      <c r="K11" s="20" t="s">
        <v>36</v>
      </c>
      <c r="L11" s="21" t="s">
        <v>36</v>
      </c>
      <c r="M11" s="20" t="s">
        <v>254</v>
      </c>
      <c r="N11" s="20" t="s">
        <v>255</v>
      </c>
      <c r="O11" s="20" t="s">
        <v>256</v>
      </c>
      <c r="P11" s="20" t="s">
        <v>257</v>
      </c>
      <c r="Q11" s="21" t="s">
        <v>34</v>
      </c>
      <c r="R11" s="20" t="s">
        <v>181</v>
      </c>
      <c r="S11" s="20" t="s">
        <v>181</v>
      </c>
      <c r="T11" s="20" t="s">
        <v>182</v>
      </c>
      <c r="U11" s="21" t="s">
        <v>34</v>
      </c>
      <c r="V11" s="20" t="s">
        <v>258</v>
      </c>
      <c r="W11" s="20" t="s">
        <v>184</v>
      </c>
      <c r="X11" s="20" t="s">
        <v>245</v>
      </c>
      <c r="Y11" s="20" t="s">
        <v>259</v>
      </c>
      <c r="Z11" s="20" t="s">
        <v>260</v>
      </c>
      <c r="AA11" s="20" t="s">
        <v>261</v>
      </c>
      <c r="AB11" s="22" t="str">
        <f aca="false">IF(COUNTIF(L11,"Missing")+COUNTIF(Q11,"Missing")&gt;0,"No: "&amp;(COUNTIF(L11,"Missing")+COUNTIF(Q11,"Missing"))&amp;" missing",IF(COUNTIF(L11,"Partial")+COUNTIF(Q11,"Partial")&gt;0,"After checks","Yes"))</f>
        <v>No: 1 missing</v>
      </c>
      <c r="AC11" s="23"/>
      <c r="AD11" s="23"/>
      <c r="AE11" s="22" t="str">
        <f aca="false">IF(OR(AC11="",AD11=""),"",IF(OR(AC11="FAIL",AD11="WRONG DIRECTION"),"Revise or drop",IF(F11="Without market indicator","Low/Medium",IF(AND(AC11="PASS",AD11="PASS"),"High",IF(AND(AC11="PASS",AD11="INCONCLUSIVE"),"Medium","Low/Medium")))))</f>
        <v/>
      </c>
      <c r="AF11" s="23"/>
      <c r="AG11" s="23"/>
      <c r="AH11" s="24"/>
    </row>
    <row r="12" customFormat="false" ht="150" hidden="false" customHeight="true" outlineLevel="0" collapsed="false">
      <c r="A12" s="25" t="s">
        <v>262</v>
      </c>
      <c r="B12" s="26" t="s">
        <v>233</v>
      </c>
      <c r="C12" s="26" t="s">
        <v>182</v>
      </c>
      <c r="D12" s="25" t="s">
        <v>263</v>
      </c>
      <c r="E12" s="26" t="s">
        <v>264</v>
      </c>
      <c r="F12" s="26" t="s">
        <v>65</v>
      </c>
      <c r="G12" s="26" t="s">
        <v>235</v>
      </c>
      <c r="H12" s="26" t="s">
        <v>125</v>
      </c>
      <c r="I12" s="26" t="s">
        <v>236</v>
      </c>
      <c r="J12" s="26" t="s">
        <v>237</v>
      </c>
      <c r="K12" s="26" t="s">
        <v>36</v>
      </c>
      <c r="L12" s="27" t="s">
        <v>36</v>
      </c>
      <c r="M12" s="26" t="s">
        <v>265</v>
      </c>
      <c r="N12" s="26" t="s">
        <v>266</v>
      </c>
      <c r="O12" s="26" t="s">
        <v>267</v>
      </c>
      <c r="P12" s="26" t="s">
        <v>241</v>
      </c>
      <c r="Q12" s="27" t="s">
        <v>32</v>
      </c>
      <c r="R12" s="26" t="s">
        <v>268</v>
      </c>
      <c r="S12" s="26" t="s">
        <v>181</v>
      </c>
      <c r="T12" s="26" t="s">
        <v>182</v>
      </c>
      <c r="U12" s="27" t="s">
        <v>34</v>
      </c>
      <c r="V12" s="26" t="s">
        <v>269</v>
      </c>
      <c r="W12" s="26" t="s">
        <v>270</v>
      </c>
      <c r="X12" s="26" t="s">
        <v>245</v>
      </c>
      <c r="Y12" s="26" t="s">
        <v>246</v>
      </c>
      <c r="Z12" s="26" t="s">
        <v>271</v>
      </c>
      <c r="AA12" s="26" t="s">
        <v>272</v>
      </c>
      <c r="AB12" s="22" t="str">
        <f aca="false">IF(COUNTIF(L12,"Missing")+COUNTIF(Q12,"Missing")&gt;0,"No: "&amp;(COUNTIF(L12,"Missing")+COUNTIF(Q12,"Missing"))&amp;" missing",IF(COUNTIF(L12,"Partial")+COUNTIF(Q12,"Partial")&gt;0,"After checks","Yes"))</f>
        <v>After checks</v>
      </c>
      <c r="AC12" s="23"/>
      <c r="AD12" s="23"/>
      <c r="AE12" s="22" t="str">
        <f aca="false">IF(OR(AC12="",AD12=""),"",IF(OR(AC12="FAIL",AD12="WRONG DIRECTION"),"Revise or drop",IF(F12="Without market indicator","Low/Medium",IF(AND(AC12="PASS",AD12="PASS"),"High",IF(AND(AC12="PASS",AD12="INCONCLUSIVE"),"Medium","Low/Medium")))))</f>
        <v/>
      </c>
      <c r="AF12" s="23"/>
      <c r="AG12" s="23"/>
      <c r="AH12" s="24"/>
    </row>
    <row r="13" customFormat="false" ht="150" hidden="false" customHeight="true" outlineLevel="0" collapsed="false">
      <c r="A13" s="19" t="s">
        <v>273</v>
      </c>
      <c r="B13" s="20" t="s">
        <v>274</v>
      </c>
      <c r="C13" s="20" t="s">
        <v>121</v>
      </c>
      <c r="D13" s="19" t="s">
        <v>275</v>
      </c>
      <c r="E13" s="20" t="s">
        <v>264</v>
      </c>
      <c r="F13" s="20" t="s">
        <v>64</v>
      </c>
      <c r="G13" s="20" t="s">
        <v>276</v>
      </c>
      <c r="H13" s="20" t="s">
        <v>146</v>
      </c>
      <c r="I13" s="20" t="s">
        <v>277</v>
      </c>
      <c r="J13" s="20" t="s">
        <v>278</v>
      </c>
      <c r="K13" s="20" t="s">
        <v>279</v>
      </c>
      <c r="L13" s="21" t="s">
        <v>30</v>
      </c>
      <c r="M13" s="20" t="s">
        <v>280</v>
      </c>
      <c r="N13" s="20" t="s">
        <v>266</v>
      </c>
      <c r="O13" s="20" t="s">
        <v>281</v>
      </c>
      <c r="P13" s="20" t="s">
        <v>282</v>
      </c>
      <c r="Q13" s="21" t="s">
        <v>34</v>
      </c>
      <c r="R13" s="20" t="s">
        <v>268</v>
      </c>
      <c r="S13" s="20" t="s">
        <v>181</v>
      </c>
      <c r="T13" s="20" t="s">
        <v>182</v>
      </c>
      <c r="U13" s="21" t="s">
        <v>34</v>
      </c>
      <c r="V13" s="20" t="s">
        <v>283</v>
      </c>
      <c r="W13" s="20" t="s">
        <v>184</v>
      </c>
      <c r="X13" s="20" t="s">
        <v>138</v>
      </c>
      <c r="Y13" s="20" t="s">
        <v>284</v>
      </c>
      <c r="Z13" s="20" t="s">
        <v>285</v>
      </c>
      <c r="AA13" s="20" t="s">
        <v>286</v>
      </c>
      <c r="AB13" s="22" t="str">
        <f aca="false">IF(COUNTIF(L13,"Missing")+COUNTIF(Q13,"Missing")&gt;0,"No: "&amp;(COUNTIF(L13,"Missing")+COUNTIF(Q13,"Missing"))&amp;" missing",IF(COUNTIF(L13,"Partial")+COUNTIF(Q13,"Partial")&gt;0,"After checks","Yes"))</f>
        <v>No: 1 missing</v>
      </c>
      <c r="AC13" s="23"/>
      <c r="AD13" s="23"/>
      <c r="AE13" s="22" t="str">
        <f aca="false">IF(OR(AC13="",AD13=""),"",IF(OR(AC13="FAIL",AD13="WRONG DIRECTION"),"Revise or drop",IF(F13="Without market indicator","Low/Medium",IF(AND(AC13="PASS",AD13="PASS"),"High",IF(AND(AC13="PASS",AD13="INCONCLUSIVE"),"Medium","Low/Medium")))))</f>
        <v/>
      </c>
      <c r="AF13" s="23"/>
      <c r="AG13" s="23"/>
      <c r="AH13" s="24"/>
    </row>
    <row r="14" customFormat="false" ht="150" hidden="false" customHeight="true" outlineLevel="0" collapsed="false">
      <c r="A14" s="25" t="s">
        <v>287</v>
      </c>
      <c r="B14" s="26" t="s">
        <v>274</v>
      </c>
      <c r="C14" s="26" t="s">
        <v>143</v>
      </c>
      <c r="D14" s="25" t="s">
        <v>288</v>
      </c>
      <c r="E14" s="26" t="s">
        <v>264</v>
      </c>
      <c r="F14" s="26" t="s">
        <v>64</v>
      </c>
      <c r="G14" s="26" t="s">
        <v>172</v>
      </c>
      <c r="H14" s="26" t="s">
        <v>146</v>
      </c>
      <c r="I14" s="26" t="s">
        <v>289</v>
      </c>
      <c r="J14" s="26" t="s">
        <v>290</v>
      </c>
      <c r="K14" s="26" t="s">
        <v>291</v>
      </c>
      <c r="L14" s="27" t="s">
        <v>30</v>
      </c>
      <c r="M14" s="26" t="s">
        <v>292</v>
      </c>
      <c r="N14" s="26" t="s">
        <v>266</v>
      </c>
      <c r="O14" s="26" t="s">
        <v>281</v>
      </c>
      <c r="P14" s="26" t="s">
        <v>282</v>
      </c>
      <c r="Q14" s="27" t="s">
        <v>34</v>
      </c>
      <c r="R14" s="26" t="s">
        <v>268</v>
      </c>
      <c r="S14" s="26" t="s">
        <v>181</v>
      </c>
      <c r="T14" s="26" t="s">
        <v>182</v>
      </c>
      <c r="U14" s="27" t="s">
        <v>34</v>
      </c>
      <c r="V14" s="26" t="s">
        <v>293</v>
      </c>
      <c r="W14" s="26" t="s">
        <v>184</v>
      </c>
      <c r="X14" s="26" t="s">
        <v>138</v>
      </c>
      <c r="Y14" s="26" t="s">
        <v>284</v>
      </c>
      <c r="Z14" s="26" t="s">
        <v>294</v>
      </c>
      <c r="AA14" s="26" t="s">
        <v>295</v>
      </c>
      <c r="AB14" s="22" t="str">
        <f aca="false">IF(COUNTIF(L14,"Missing")+COUNTIF(Q14,"Missing")&gt;0,"No: "&amp;(COUNTIF(L14,"Missing")+COUNTIF(Q14,"Missing"))&amp;" missing",IF(COUNTIF(L14,"Partial")+COUNTIF(Q14,"Partial")&gt;0,"After checks","Yes"))</f>
        <v>No: 1 missing</v>
      </c>
      <c r="AC14" s="23"/>
      <c r="AD14" s="23"/>
      <c r="AE14" s="22" t="str">
        <f aca="false">IF(OR(AC14="",AD14=""),"",IF(OR(AC14="FAIL",AD14="WRONG DIRECTION"),"Revise or drop",IF(F14="Without market indicator","Low/Medium",IF(AND(AC14="PASS",AD14="PASS"),"High",IF(AND(AC14="PASS",AD14="INCONCLUSIVE"),"Medium","Low/Medium")))))</f>
        <v/>
      </c>
      <c r="AF14" s="23"/>
      <c r="AG14" s="23"/>
      <c r="AH14" s="24"/>
    </row>
    <row r="15" customFormat="false" ht="150" hidden="false" customHeight="true" outlineLevel="0" collapsed="false">
      <c r="A15" s="19" t="s">
        <v>296</v>
      </c>
      <c r="B15" s="20" t="s">
        <v>297</v>
      </c>
      <c r="C15" s="20" t="s">
        <v>182</v>
      </c>
      <c r="D15" s="19" t="s">
        <v>298</v>
      </c>
      <c r="E15" s="20" t="s">
        <v>264</v>
      </c>
      <c r="F15" s="20" t="s">
        <v>64</v>
      </c>
      <c r="G15" s="20" t="s">
        <v>172</v>
      </c>
      <c r="H15" s="20" t="s">
        <v>146</v>
      </c>
      <c r="I15" s="20" t="s">
        <v>299</v>
      </c>
      <c r="J15" s="20" t="s">
        <v>300</v>
      </c>
      <c r="K15" s="20" t="s">
        <v>301</v>
      </c>
      <c r="L15" s="21" t="s">
        <v>34</v>
      </c>
      <c r="M15" s="20" t="s">
        <v>302</v>
      </c>
      <c r="N15" s="20" t="s">
        <v>303</v>
      </c>
      <c r="O15" s="20" t="s">
        <v>304</v>
      </c>
      <c r="P15" s="20" t="s">
        <v>305</v>
      </c>
      <c r="Q15" s="21" t="s">
        <v>30</v>
      </c>
      <c r="R15" s="20" t="s">
        <v>268</v>
      </c>
      <c r="S15" s="20" t="s">
        <v>181</v>
      </c>
      <c r="T15" s="20" t="s">
        <v>182</v>
      </c>
      <c r="U15" s="21" t="s">
        <v>34</v>
      </c>
      <c r="V15" s="20" t="s">
        <v>306</v>
      </c>
      <c r="W15" s="20" t="s">
        <v>184</v>
      </c>
      <c r="X15" s="20" t="s">
        <v>138</v>
      </c>
      <c r="Y15" s="20" t="s">
        <v>307</v>
      </c>
      <c r="Z15" s="20" t="s">
        <v>308</v>
      </c>
      <c r="AA15" s="20" t="s">
        <v>309</v>
      </c>
      <c r="AB15" s="22" t="str">
        <f aca="false">IF(COUNTIF(L15,"Missing")+COUNTIF(Q15,"Missing")&gt;0,"No: "&amp;(COUNTIF(L15,"Missing")+COUNTIF(Q15,"Missing"))&amp;" missing",IF(COUNTIF(L15,"Partial")+COUNTIF(Q15,"Partial")&gt;0,"After checks","Yes"))</f>
        <v>No: 1 missing</v>
      </c>
      <c r="AC15" s="23"/>
      <c r="AD15" s="23"/>
      <c r="AE15" s="22" t="str">
        <f aca="false">IF(OR(AC15="",AD15=""),"",IF(OR(AC15="FAIL",AD15="WRONG DIRECTION"),"Revise or drop",IF(F15="Without market indicator","Low/Medium",IF(AND(AC15="PASS",AD15="PASS"),"High",IF(AND(AC15="PASS",AD15="INCONCLUSIVE"),"Medium","Low/Medium")))))</f>
        <v/>
      </c>
      <c r="AF15" s="23"/>
      <c r="AG15" s="23"/>
      <c r="AH15" s="24"/>
    </row>
    <row r="16" customFormat="false" ht="150" hidden="false" customHeight="true" outlineLevel="0" collapsed="false">
      <c r="A16" s="25" t="s">
        <v>310</v>
      </c>
      <c r="B16" s="26" t="s">
        <v>311</v>
      </c>
      <c r="C16" s="26" t="s">
        <v>182</v>
      </c>
      <c r="D16" s="25" t="s">
        <v>312</v>
      </c>
      <c r="E16" s="26" t="s">
        <v>264</v>
      </c>
      <c r="F16" s="26" t="s">
        <v>64</v>
      </c>
      <c r="G16" s="26" t="s">
        <v>145</v>
      </c>
      <c r="H16" s="26" t="s">
        <v>146</v>
      </c>
      <c r="I16" s="26" t="s">
        <v>313</v>
      </c>
      <c r="J16" s="26" t="s">
        <v>314</v>
      </c>
      <c r="K16" s="26" t="s">
        <v>315</v>
      </c>
      <c r="L16" s="27" t="s">
        <v>34</v>
      </c>
      <c r="M16" s="26" t="s">
        <v>316</v>
      </c>
      <c r="N16" s="26" t="s">
        <v>317</v>
      </c>
      <c r="O16" s="26" t="s">
        <v>209</v>
      </c>
      <c r="P16" s="26" t="s">
        <v>318</v>
      </c>
      <c r="Q16" s="27" t="s">
        <v>34</v>
      </c>
      <c r="R16" s="26" t="s">
        <v>268</v>
      </c>
      <c r="S16" s="26" t="s">
        <v>319</v>
      </c>
      <c r="T16" s="26" t="s">
        <v>182</v>
      </c>
      <c r="U16" s="27" t="s">
        <v>34</v>
      </c>
      <c r="V16" s="26" t="s">
        <v>320</v>
      </c>
      <c r="W16" s="26" t="s">
        <v>184</v>
      </c>
      <c r="X16" s="26" t="s">
        <v>138</v>
      </c>
      <c r="Y16" s="26" t="s">
        <v>321</v>
      </c>
      <c r="Z16" s="26" t="s">
        <v>322</v>
      </c>
      <c r="AA16" s="26" t="s">
        <v>323</v>
      </c>
      <c r="AB16" s="22" t="str">
        <f aca="false">IF(COUNTIF(L16,"Missing")+COUNTIF(Q16,"Missing")&gt;0,"No: "&amp;(COUNTIF(L16,"Missing")+COUNTIF(Q16,"Missing"))&amp;" missing",IF(COUNTIF(L16,"Partial")+COUNTIF(Q16,"Partial")&gt;0,"After checks","Yes"))</f>
        <v>No: 2 missing</v>
      </c>
      <c r="AC16" s="23"/>
      <c r="AD16" s="23"/>
      <c r="AE16" s="22" t="str">
        <f aca="false">IF(OR(AC16="",AD16=""),"",IF(OR(AC16="FAIL",AD16="WRONG DIRECTION"),"Revise or drop",IF(F16="Without market indicator","Low/Medium",IF(AND(AC16="PASS",AD16="PASS"),"High",IF(AND(AC16="PASS",AD16="INCONCLUSIVE"),"Medium","Low/Medium")))))</f>
        <v/>
      </c>
      <c r="AF16" s="23"/>
      <c r="AG16" s="23"/>
      <c r="AH16" s="24"/>
    </row>
  </sheetData>
  <autoFilter ref="A2:AH16"/>
  <mergeCells count="5">
    <mergeCell ref="A1:H1"/>
    <mergeCell ref="I1:L1"/>
    <mergeCell ref="N1:U1"/>
    <mergeCell ref="V1:AA1"/>
    <mergeCell ref="AB1:AH1"/>
  </mergeCells>
  <conditionalFormatting sqref="L3:L16">
    <cfRule type="cellIs" priority="2" operator="equal" aboveAverage="0" equalAverage="0" bottom="0" percent="0" rank="0" text="" dxfId="10">
      <formula>"Have"</formula>
    </cfRule>
    <cfRule type="cellIs" priority="3" operator="equal" aboveAverage="0" equalAverage="0" bottom="0" percent="0" rank="0" text="" dxfId="11">
      <formula>"Partial"</formula>
    </cfRule>
    <cfRule type="cellIs" priority="4" operator="equal" aboveAverage="0" equalAverage="0" bottom="0" percent="0" rank="0" text="" dxfId="12">
      <formula>"Missing"</formula>
    </cfRule>
    <cfRule type="cellIs" priority="5" operator="equal" aboveAverage="0" equalAverage="0" bottom="0" percent="0" rank="0" text="" dxfId="13">
      <formula>"N/A"</formula>
    </cfRule>
  </conditionalFormatting>
  <conditionalFormatting sqref="Q3:Q16">
    <cfRule type="cellIs" priority="6" operator="equal" aboveAverage="0" equalAverage="0" bottom="0" percent="0" rank="0" text="" dxfId="10">
      <formula>"Have"</formula>
    </cfRule>
    <cfRule type="cellIs" priority="7" operator="equal" aboveAverage="0" equalAverage="0" bottom="0" percent="0" rank="0" text="" dxfId="11">
      <formula>"Partial"</formula>
    </cfRule>
    <cfRule type="cellIs" priority="8" operator="equal" aboveAverage="0" equalAverage="0" bottom="0" percent="0" rank="0" text="" dxfId="12">
      <formula>"Missing"</formula>
    </cfRule>
    <cfRule type="cellIs" priority="9" operator="equal" aboveAverage="0" equalAverage="0" bottom="0" percent="0" rank="0" text="" dxfId="13">
      <formula>"N/A"</formula>
    </cfRule>
  </conditionalFormatting>
  <conditionalFormatting sqref="U3:U16">
    <cfRule type="cellIs" priority="10" operator="equal" aboveAverage="0" equalAverage="0" bottom="0" percent="0" rank="0" text="" dxfId="10">
      <formula>"Have"</formula>
    </cfRule>
    <cfRule type="cellIs" priority="11" operator="equal" aboveAverage="0" equalAverage="0" bottom="0" percent="0" rank="0" text="" dxfId="11">
      <formula>"Partial"</formula>
    </cfRule>
    <cfRule type="cellIs" priority="12" operator="equal" aboveAverage="0" equalAverage="0" bottom="0" percent="0" rank="0" text="" dxfId="12">
      <formula>"Missing"</formula>
    </cfRule>
    <cfRule type="cellIs" priority="13" operator="equal" aboveAverage="0" equalAverage="0" bottom="0" percent="0" rank="0" text="" dxfId="13">
      <formula>"N/A"</formula>
    </cfRule>
  </conditionalFormatting>
  <conditionalFormatting sqref="AB3:AB16">
    <cfRule type="expression" priority="14" aboveAverage="0" equalAverage="0" bottom="0" percent="0" rank="0" text="" dxfId="10">
      <formula>AB3="Yes"</formula>
    </cfRule>
    <cfRule type="expression" priority="15" aboveAverage="0" equalAverage="0" bottom="0" percent="0" rank="0" text="" dxfId="12">
      <formula>LEFT(AB3,2)="No"</formula>
    </cfRule>
    <cfRule type="expression" priority="16" aboveAverage="0" equalAverage="0" bottom="0" percent="0" rank="0" text="" dxfId="11">
      <formula>AB3="After checks"</formula>
    </cfRule>
  </conditionalFormatting>
  <conditionalFormatting sqref="AC3:AC16">
    <cfRule type="cellIs" priority="17" operator="equal" aboveAverage="0" equalAverage="0" bottom="0" percent="0" rank="0" text="" dxfId="10">
      <formula>"PASS"</formula>
    </cfRule>
    <cfRule type="cellIs" priority="18" operator="equal" aboveAverage="0" equalAverage="0" bottom="0" percent="0" rank="0" text="" dxfId="12">
      <formula>"FAIL"</formula>
    </cfRule>
  </conditionalFormatting>
  <conditionalFormatting sqref="AD3:AD16">
    <cfRule type="cellIs" priority="19" operator="equal" aboveAverage="0" equalAverage="0" bottom="0" percent="0" rank="0" text="" dxfId="10">
      <formula>"PASS"</formula>
    </cfRule>
    <cfRule type="cellIs" priority="20" operator="equal" aboveAverage="0" equalAverage="0" bottom="0" percent="0" rank="0" text="" dxfId="12">
      <formula>"FAIL"</formula>
    </cfRule>
  </conditionalFormatting>
  <dataValidations count="3">
    <dataValidation allowBlank="true" errorStyle="stop" operator="between" showDropDown="false" showErrorMessage="false" showInputMessage="false" sqref="AC3:AC16" type="list">
      <formula1>"PASS,FAIL,N/A"</formula1>
      <formula2>0</formula2>
    </dataValidation>
    <dataValidation allowBlank="true" errorStyle="stop" operator="between" showDropDown="false" showErrorMessage="false" showInputMessage="false" sqref="AD3:AD16" type="list">
      <formula1>"PASS,FAIL,INCONCLUSIVE,WRONG DIRECTION"</formula1>
      <formula2>0</formula2>
    </dataValidation>
    <dataValidation allowBlank="false" errorStyle="stop" operator="between" showDropDown="false" showErrorMessage="false" showInputMessage="false" sqref="L3:L16 Q3:Q16 U3:U16" type="list">
      <formula1>"Have,Partial,Missing,N/A"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9B76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2" t="s">
        <v>324</v>
      </c>
      <c r="B1" s="12" t="s">
        <v>325</v>
      </c>
      <c r="C1" s="12" t="s">
        <v>326</v>
      </c>
      <c r="D1" s="12" t="s">
        <v>327</v>
      </c>
      <c r="E1" s="12" t="s">
        <v>328</v>
      </c>
      <c r="F1" s="12" t="s">
        <v>329</v>
      </c>
      <c r="G1" s="12" t="s">
        <v>330</v>
      </c>
      <c r="H1" s="12" t="s">
        <v>331</v>
      </c>
    </row>
    <row r="2" customFormat="false" ht="39.75" hidden="false" customHeight="true" outlineLevel="0" collapsed="false">
      <c r="A2" s="19" t="s">
        <v>332</v>
      </c>
      <c r="B2" s="20" t="s">
        <v>333</v>
      </c>
      <c r="C2" s="20" t="s">
        <v>334</v>
      </c>
      <c r="D2" s="20" t="s">
        <v>335</v>
      </c>
      <c r="E2" s="20" t="s">
        <v>336</v>
      </c>
      <c r="F2" s="20" t="s">
        <v>337</v>
      </c>
      <c r="G2" s="20" t="s">
        <v>338</v>
      </c>
      <c r="H2" s="20" t="s">
        <v>339</v>
      </c>
    </row>
    <row r="3" customFormat="false" ht="39.75" hidden="false" customHeight="true" outlineLevel="0" collapsed="false">
      <c r="A3" s="19" t="s">
        <v>340</v>
      </c>
      <c r="B3" s="20" t="s">
        <v>341</v>
      </c>
      <c r="C3" s="20" t="s">
        <v>342</v>
      </c>
      <c r="D3" s="20" t="s">
        <v>335</v>
      </c>
      <c r="E3" s="20" t="s">
        <v>343</v>
      </c>
      <c r="F3" s="20" t="s">
        <v>32</v>
      </c>
      <c r="G3" s="20" t="s">
        <v>344</v>
      </c>
      <c r="H3" s="20" t="s">
        <v>345</v>
      </c>
    </row>
    <row r="4" customFormat="false" ht="39.75" hidden="false" customHeight="true" outlineLevel="0" collapsed="false">
      <c r="A4" s="19" t="s">
        <v>346</v>
      </c>
      <c r="B4" s="20" t="s">
        <v>347</v>
      </c>
      <c r="C4" s="20" t="s">
        <v>334</v>
      </c>
      <c r="D4" s="20" t="s">
        <v>335</v>
      </c>
      <c r="E4" s="20" t="s">
        <v>348</v>
      </c>
      <c r="F4" s="20" t="s">
        <v>349</v>
      </c>
      <c r="G4" s="20" t="s">
        <v>344</v>
      </c>
      <c r="H4" s="20" t="s">
        <v>350</v>
      </c>
    </row>
    <row r="5" customFormat="false" ht="39.75" hidden="false" customHeight="true" outlineLevel="0" collapsed="false">
      <c r="A5" s="19" t="s">
        <v>351</v>
      </c>
      <c r="B5" s="20" t="s">
        <v>352</v>
      </c>
      <c r="C5" s="20" t="s">
        <v>334</v>
      </c>
      <c r="D5" s="20" t="s">
        <v>335</v>
      </c>
      <c r="E5" s="20" t="s">
        <v>353</v>
      </c>
      <c r="F5" s="20" t="s">
        <v>32</v>
      </c>
      <c r="G5" s="20" t="s">
        <v>354</v>
      </c>
      <c r="H5" s="20" t="s">
        <v>355</v>
      </c>
    </row>
    <row r="6" customFormat="false" ht="39.75" hidden="false" customHeight="true" outlineLevel="0" collapsed="false">
      <c r="A6" s="19" t="s">
        <v>356</v>
      </c>
      <c r="B6" s="20" t="s">
        <v>357</v>
      </c>
      <c r="C6" s="20" t="s">
        <v>334</v>
      </c>
      <c r="D6" s="20" t="s">
        <v>335</v>
      </c>
      <c r="E6" s="20" t="s">
        <v>358</v>
      </c>
      <c r="F6" s="20" t="s">
        <v>34</v>
      </c>
      <c r="G6" s="20" t="s">
        <v>359</v>
      </c>
      <c r="H6" s="20" t="s">
        <v>360</v>
      </c>
    </row>
    <row r="7" customFormat="false" ht="39.75" hidden="false" customHeight="true" outlineLevel="0" collapsed="false">
      <c r="A7" s="19" t="s">
        <v>361</v>
      </c>
      <c r="B7" s="20" t="s">
        <v>362</v>
      </c>
      <c r="C7" s="20" t="s">
        <v>334</v>
      </c>
      <c r="D7" s="20" t="s">
        <v>335</v>
      </c>
      <c r="E7" s="20" t="s">
        <v>363</v>
      </c>
      <c r="F7" s="20" t="s">
        <v>34</v>
      </c>
      <c r="G7" s="20" t="s">
        <v>364</v>
      </c>
      <c r="H7" s="20" t="s">
        <v>365</v>
      </c>
    </row>
    <row r="8" customFormat="false" ht="39.75" hidden="false" customHeight="true" outlineLevel="0" collapsed="false">
      <c r="A8" s="19" t="s">
        <v>366</v>
      </c>
      <c r="B8" s="20" t="s">
        <v>367</v>
      </c>
      <c r="C8" s="20" t="s">
        <v>368</v>
      </c>
      <c r="D8" s="20" t="s">
        <v>369</v>
      </c>
      <c r="E8" s="20" t="s">
        <v>370</v>
      </c>
      <c r="F8" s="20" t="s">
        <v>34</v>
      </c>
      <c r="G8" s="20" t="s">
        <v>371</v>
      </c>
      <c r="H8" s="20" t="s">
        <v>372</v>
      </c>
    </row>
    <row r="9" customFormat="false" ht="39.75" hidden="false" customHeight="true" outlineLevel="0" collapsed="false">
      <c r="A9" s="19" t="s">
        <v>373</v>
      </c>
      <c r="B9" s="20" t="s">
        <v>374</v>
      </c>
      <c r="C9" s="20" t="s">
        <v>368</v>
      </c>
      <c r="D9" s="20" t="s">
        <v>375</v>
      </c>
      <c r="E9" s="20" t="s">
        <v>376</v>
      </c>
      <c r="F9" s="20" t="s">
        <v>34</v>
      </c>
      <c r="G9" s="20" t="s">
        <v>377</v>
      </c>
      <c r="H9" s="20" t="s">
        <v>378</v>
      </c>
    </row>
    <row r="10" customFormat="false" ht="39.75" hidden="false" customHeight="true" outlineLevel="0" collapsed="false">
      <c r="A10" s="19" t="s">
        <v>379</v>
      </c>
      <c r="B10" s="20" t="s">
        <v>380</v>
      </c>
      <c r="C10" s="20" t="s">
        <v>334</v>
      </c>
      <c r="D10" s="20" t="s">
        <v>381</v>
      </c>
      <c r="E10" s="20" t="s">
        <v>382</v>
      </c>
      <c r="F10" s="20" t="s">
        <v>34</v>
      </c>
      <c r="G10" s="20" t="s">
        <v>383</v>
      </c>
      <c r="H10" s="20" t="s">
        <v>384</v>
      </c>
    </row>
    <row r="11" customFormat="false" ht="39.75" hidden="false" customHeight="true" outlineLevel="0" collapsed="false">
      <c r="A11" s="19" t="s">
        <v>385</v>
      </c>
      <c r="B11" s="20" t="s">
        <v>386</v>
      </c>
      <c r="C11" s="20" t="s">
        <v>387</v>
      </c>
      <c r="D11" s="20" t="s">
        <v>388</v>
      </c>
      <c r="E11" s="20" t="s">
        <v>389</v>
      </c>
      <c r="F11" s="20" t="s">
        <v>34</v>
      </c>
      <c r="G11" s="20" t="s">
        <v>390</v>
      </c>
      <c r="H11" s="20" t="s">
        <v>391</v>
      </c>
    </row>
    <row r="12" customFormat="false" ht="39.75" hidden="false" customHeight="true" outlineLevel="0" collapsed="false">
      <c r="A12" s="19" t="s">
        <v>392</v>
      </c>
      <c r="B12" s="20" t="s">
        <v>393</v>
      </c>
      <c r="C12" s="20" t="s">
        <v>334</v>
      </c>
      <c r="D12" s="20" t="s">
        <v>335</v>
      </c>
      <c r="E12" s="20" t="s">
        <v>394</v>
      </c>
      <c r="F12" s="20" t="s">
        <v>30</v>
      </c>
      <c r="G12" s="20" t="s">
        <v>395</v>
      </c>
      <c r="H12" s="20" t="s">
        <v>396</v>
      </c>
    </row>
    <row r="13" customFormat="false" ht="39.75" hidden="false" customHeight="true" outlineLevel="0" collapsed="false">
      <c r="A13" s="19" t="s">
        <v>397</v>
      </c>
      <c r="B13" s="20" t="s">
        <v>398</v>
      </c>
      <c r="C13" s="20" t="s">
        <v>334</v>
      </c>
      <c r="D13" s="20" t="s">
        <v>335</v>
      </c>
      <c r="E13" s="20" t="s">
        <v>399</v>
      </c>
      <c r="F13" s="20" t="s">
        <v>30</v>
      </c>
      <c r="G13" s="20" t="s">
        <v>400</v>
      </c>
      <c r="H13" s="20" t="s">
        <v>396</v>
      </c>
    </row>
    <row r="14" customFormat="false" ht="39.75" hidden="false" customHeight="true" outlineLevel="0" collapsed="false">
      <c r="A14" s="19" t="s">
        <v>401</v>
      </c>
      <c r="B14" s="20" t="s">
        <v>402</v>
      </c>
      <c r="C14" s="20" t="s">
        <v>334</v>
      </c>
      <c r="D14" s="20" t="s">
        <v>335</v>
      </c>
      <c r="E14" s="20" t="s">
        <v>315</v>
      </c>
      <c r="F14" s="20" t="s">
        <v>34</v>
      </c>
      <c r="G14" s="20" t="s">
        <v>403</v>
      </c>
      <c r="H14" s="20" t="s">
        <v>404</v>
      </c>
    </row>
    <row r="15" customFormat="false" ht="39.75" hidden="false" customHeight="true" outlineLevel="0" collapsed="false">
      <c r="A15" s="19" t="s">
        <v>405</v>
      </c>
      <c r="B15" s="20" t="s">
        <v>406</v>
      </c>
      <c r="C15" s="20" t="s">
        <v>407</v>
      </c>
      <c r="D15" s="20" t="s">
        <v>388</v>
      </c>
      <c r="E15" s="20" t="s">
        <v>408</v>
      </c>
      <c r="F15" s="20" t="s">
        <v>409</v>
      </c>
      <c r="G15" s="20" t="s">
        <v>410</v>
      </c>
      <c r="H15" s="20" t="s">
        <v>411</v>
      </c>
    </row>
    <row r="16" customFormat="false" ht="39.75" hidden="false" customHeight="true" outlineLevel="0" collapsed="false">
      <c r="A16" s="19" t="s">
        <v>412</v>
      </c>
      <c r="B16" s="20" t="s">
        <v>413</v>
      </c>
      <c r="C16" s="20" t="s">
        <v>334</v>
      </c>
      <c r="D16" s="20" t="s">
        <v>388</v>
      </c>
      <c r="E16" s="20" t="s">
        <v>414</v>
      </c>
      <c r="F16" s="20" t="s">
        <v>409</v>
      </c>
      <c r="G16" s="20" t="s">
        <v>415</v>
      </c>
      <c r="H16" s="20" t="s">
        <v>416</v>
      </c>
    </row>
    <row r="17" customFormat="false" ht="39.75" hidden="false" customHeight="true" outlineLevel="0" collapsed="false">
      <c r="A17" s="19" t="s">
        <v>417</v>
      </c>
      <c r="B17" s="20" t="s">
        <v>418</v>
      </c>
      <c r="C17" s="20" t="s">
        <v>419</v>
      </c>
      <c r="D17" s="20" t="s">
        <v>420</v>
      </c>
      <c r="E17" s="20" t="s">
        <v>421</v>
      </c>
      <c r="F17" s="20" t="s">
        <v>34</v>
      </c>
      <c r="G17" s="20" t="s">
        <v>422</v>
      </c>
      <c r="H17" s="20" t="s">
        <v>423</v>
      </c>
    </row>
  </sheetData>
  <conditionalFormatting sqref="C2:C17">
    <cfRule type="expression" priority="2" aboveAverage="0" equalAverage="0" bottom="0" percent="0" rank="0" text="" dxfId="10">
      <formula>LEFT(C2,7)="Leading"</formula>
    </cfRule>
    <cfRule type="expression" priority="3" aboveAverage="0" equalAverage="0" bottom="0" percent="0" rank="0" text="" dxfId="10">
      <formula>LEFT(C2,13)="Forward-known"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9B76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2" t="s">
        <v>424</v>
      </c>
      <c r="B1" s="12" t="s">
        <v>324</v>
      </c>
      <c r="C1" s="12" t="s">
        <v>425</v>
      </c>
      <c r="D1" s="12" t="s">
        <v>426</v>
      </c>
      <c r="E1" s="12" t="s">
        <v>427</v>
      </c>
      <c r="F1" s="12" t="s">
        <v>428</v>
      </c>
    </row>
    <row r="2" customFormat="false" ht="30" hidden="false" customHeight="true" outlineLevel="0" collapsed="false">
      <c r="A2" s="20" t="s">
        <v>429</v>
      </c>
      <c r="B2" s="20" t="s">
        <v>430</v>
      </c>
      <c r="C2" s="20" t="s">
        <v>182</v>
      </c>
      <c r="D2" s="19" t="s">
        <v>72</v>
      </c>
      <c r="E2" s="20" t="s">
        <v>431</v>
      </c>
      <c r="F2" s="20" t="s">
        <v>432</v>
      </c>
    </row>
    <row r="3" customFormat="false" ht="30" hidden="false" customHeight="true" outlineLevel="0" collapsed="false">
      <c r="A3" s="20" t="s">
        <v>429</v>
      </c>
      <c r="B3" s="20" t="s">
        <v>433</v>
      </c>
      <c r="C3" s="20" t="s">
        <v>182</v>
      </c>
      <c r="D3" s="19" t="s">
        <v>72</v>
      </c>
      <c r="E3" s="20" t="s">
        <v>434</v>
      </c>
      <c r="F3" s="20" t="s">
        <v>435</v>
      </c>
    </row>
    <row r="4" customFormat="false" ht="30" hidden="false" customHeight="true" outlineLevel="0" collapsed="false">
      <c r="A4" s="20" t="s">
        <v>429</v>
      </c>
      <c r="B4" s="20" t="s">
        <v>436</v>
      </c>
      <c r="C4" s="20" t="s">
        <v>182</v>
      </c>
      <c r="D4" s="19" t="s">
        <v>72</v>
      </c>
      <c r="E4" s="20" t="s">
        <v>437</v>
      </c>
      <c r="F4" s="20" t="s">
        <v>438</v>
      </c>
    </row>
    <row r="5" customFormat="false" ht="30" hidden="false" customHeight="true" outlineLevel="0" collapsed="false">
      <c r="A5" s="20" t="s">
        <v>429</v>
      </c>
      <c r="B5" s="20" t="s">
        <v>439</v>
      </c>
      <c r="C5" s="20" t="s">
        <v>182</v>
      </c>
      <c r="D5" s="19" t="s">
        <v>72</v>
      </c>
      <c r="E5" s="20" t="s">
        <v>437</v>
      </c>
      <c r="F5" s="20" t="s">
        <v>440</v>
      </c>
    </row>
    <row r="6" customFormat="false" ht="30" hidden="false" customHeight="true" outlineLevel="0" collapsed="false">
      <c r="A6" s="20" t="s">
        <v>429</v>
      </c>
      <c r="B6" s="20" t="s">
        <v>441</v>
      </c>
      <c r="C6" s="20" t="s">
        <v>182</v>
      </c>
      <c r="D6" s="19" t="s">
        <v>73</v>
      </c>
      <c r="E6" s="20" t="s">
        <v>442</v>
      </c>
      <c r="F6" s="20" t="s">
        <v>443</v>
      </c>
    </row>
    <row r="7" customFormat="false" ht="30" hidden="false" customHeight="true" outlineLevel="0" collapsed="false">
      <c r="A7" s="20" t="s">
        <v>429</v>
      </c>
      <c r="B7" s="20" t="s">
        <v>346</v>
      </c>
      <c r="C7" s="20" t="s">
        <v>182</v>
      </c>
      <c r="D7" s="19" t="s">
        <v>73</v>
      </c>
      <c r="E7" s="20" t="s">
        <v>442</v>
      </c>
      <c r="F7" s="20" t="s">
        <v>444</v>
      </c>
    </row>
    <row r="8" customFormat="false" ht="30" hidden="false" customHeight="true" outlineLevel="0" collapsed="false">
      <c r="A8" s="20" t="s">
        <v>445</v>
      </c>
      <c r="B8" s="20" t="s">
        <v>346</v>
      </c>
      <c r="C8" s="20" t="s">
        <v>446</v>
      </c>
      <c r="D8" s="19" t="s">
        <v>73</v>
      </c>
      <c r="E8" s="20" t="s">
        <v>447</v>
      </c>
      <c r="F8" s="20" t="s">
        <v>448</v>
      </c>
    </row>
    <row r="9" customFormat="false" ht="30" hidden="false" customHeight="true" outlineLevel="0" collapsed="false">
      <c r="A9" s="20" t="s">
        <v>445</v>
      </c>
      <c r="B9" s="20" t="s">
        <v>430</v>
      </c>
      <c r="C9" s="20" t="s">
        <v>449</v>
      </c>
      <c r="D9" s="19" t="s">
        <v>450</v>
      </c>
      <c r="E9" s="20" t="s">
        <v>451</v>
      </c>
      <c r="F9" s="20" t="s">
        <v>452</v>
      </c>
    </row>
    <row r="10" customFormat="false" ht="30" hidden="false" customHeight="true" outlineLevel="0" collapsed="false">
      <c r="A10" s="20" t="s">
        <v>453</v>
      </c>
      <c r="B10" s="20" t="s">
        <v>346</v>
      </c>
      <c r="C10" s="20" t="s">
        <v>454</v>
      </c>
      <c r="D10" s="19" t="s">
        <v>455</v>
      </c>
      <c r="E10" s="20" t="s">
        <v>456</v>
      </c>
      <c r="F10" s="20" t="s">
        <v>457</v>
      </c>
    </row>
    <row r="11" customFormat="false" ht="30" hidden="false" customHeight="true" outlineLevel="0" collapsed="false">
      <c r="A11" s="20" t="s">
        <v>453</v>
      </c>
      <c r="B11" s="20" t="s">
        <v>346</v>
      </c>
      <c r="C11" s="20" t="s">
        <v>458</v>
      </c>
      <c r="D11" s="19" t="s">
        <v>455</v>
      </c>
      <c r="E11" s="20" t="s">
        <v>459</v>
      </c>
      <c r="F11" s="20" t="s">
        <v>460</v>
      </c>
    </row>
    <row r="12" customFormat="false" ht="30" hidden="false" customHeight="true" outlineLevel="0" collapsed="false">
      <c r="A12" s="20" t="s">
        <v>453</v>
      </c>
      <c r="B12" s="20" t="s">
        <v>433</v>
      </c>
      <c r="C12" s="20" t="s">
        <v>461</v>
      </c>
      <c r="D12" s="19" t="s">
        <v>455</v>
      </c>
      <c r="E12" s="20" t="s">
        <v>462</v>
      </c>
      <c r="F12" s="20" t="s">
        <v>463</v>
      </c>
    </row>
    <row r="13" customFormat="false" ht="30" hidden="false" customHeight="true" outlineLevel="0" collapsed="false">
      <c r="A13" s="20" t="s">
        <v>453</v>
      </c>
      <c r="B13" s="20" t="s">
        <v>433</v>
      </c>
      <c r="C13" s="20" t="s">
        <v>464</v>
      </c>
      <c r="D13" s="19" t="s">
        <v>455</v>
      </c>
      <c r="E13" s="20" t="s">
        <v>465</v>
      </c>
      <c r="F13" s="20" t="s">
        <v>466</v>
      </c>
    </row>
    <row r="15" customFormat="false" ht="30" hidden="false" customHeight="true" outlineLevel="0" collapsed="false">
      <c r="A15" s="28" t="s">
        <v>467</v>
      </c>
      <c r="B15" s="28"/>
      <c r="C15" s="28"/>
      <c r="D15" s="28"/>
      <c r="E15" s="28"/>
      <c r="F15" s="28"/>
    </row>
  </sheetData>
  <mergeCells count="1">
    <mergeCell ref="A15:F15"/>
  </mergeCells>
  <conditionalFormatting sqref="D2:D14">
    <cfRule type="cellIs" priority="2" operator="equal" aboveAverage="0" equalAverage="0" bottom="0" percent="0" rank="0" text="" dxfId="10">
      <formula>"PASS"</formula>
    </cfRule>
    <cfRule type="expression" priority="3" aboveAverage="0" equalAverage="0" bottom="0" percent="0" rank="0" text="" dxfId="12">
      <formula>LEFT(D2,4)="FAIL"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9B76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2" t="s">
        <v>468</v>
      </c>
      <c r="B1" s="12" t="s">
        <v>330</v>
      </c>
      <c r="C1" s="12" t="s">
        <v>469</v>
      </c>
      <c r="D1" s="12" t="s">
        <v>470</v>
      </c>
      <c r="E1" s="12" t="s">
        <v>331</v>
      </c>
    </row>
    <row r="2" customFormat="false" ht="30" hidden="false" customHeight="true" outlineLevel="0" collapsed="false">
      <c r="A2" s="19" t="s">
        <v>471</v>
      </c>
      <c r="B2" s="20" t="s">
        <v>472</v>
      </c>
      <c r="C2" s="20" t="s">
        <v>336</v>
      </c>
      <c r="D2" s="20" t="s">
        <v>473</v>
      </c>
      <c r="E2" s="20" t="s">
        <v>474</v>
      </c>
    </row>
    <row r="3" customFormat="false" ht="30" hidden="false" customHeight="true" outlineLevel="0" collapsed="false">
      <c r="A3" s="19" t="s">
        <v>475</v>
      </c>
      <c r="B3" s="20" t="s">
        <v>188</v>
      </c>
      <c r="C3" s="20" t="s">
        <v>476</v>
      </c>
      <c r="D3" s="20" t="s">
        <v>473</v>
      </c>
      <c r="E3" s="20" t="s">
        <v>477</v>
      </c>
    </row>
    <row r="4" customFormat="false" ht="30" hidden="false" customHeight="true" outlineLevel="0" collapsed="false">
      <c r="A4" s="19" t="s">
        <v>478</v>
      </c>
      <c r="B4" s="20" t="s">
        <v>310</v>
      </c>
      <c r="C4" s="20" t="s">
        <v>479</v>
      </c>
      <c r="D4" s="20" t="s">
        <v>473</v>
      </c>
      <c r="E4" s="20" t="s">
        <v>480</v>
      </c>
    </row>
    <row r="5" customFormat="false" ht="30" hidden="false" customHeight="true" outlineLevel="0" collapsed="false">
      <c r="A5" s="19" t="s">
        <v>481</v>
      </c>
      <c r="B5" s="20" t="s">
        <v>482</v>
      </c>
      <c r="C5" s="20" t="s">
        <v>483</v>
      </c>
      <c r="D5" s="20" t="s">
        <v>23</v>
      </c>
      <c r="E5" s="20" t="s">
        <v>484</v>
      </c>
    </row>
    <row r="6" customFormat="false" ht="30" hidden="false" customHeight="true" outlineLevel="0" collapsed="false">
      <c r="A6" s="19" t="s">
        <v>417</v>
      </c>
      <c r="B6" s="20" t="s">
        <v>485</v>
      </c>
      <c r="C6" s="20" t="s">
        <v>486</v>
      </c>
      <c r="D6" s="20" t="s">
        <v>23</v>
      </c>
      <c r="E6" s="20" t="s">
        <v>487</v>
      </c>
    </row>
    <row r="7" customFormat="false" ht="30" hidden="false" customHeight="true" outlineLevel="0" collapsed="false">
      <c r="A7" s="19" t="s">
        <v>488</v>
      </c>
      <c r="B7" s="20" t="s">
        <v>489</v>
      </c>
      <c r="C7" s="20" t="s">
        <v>490</v>
      </c>
      <c r="D7" s="20" t="s">
        <v>23</v>
      </c>
      <c r="E7" s="20" t="s">
        <v>491</v>
      </c>
    </row>
    <row r="8" customFormat="false" ht="30" hidden="false" customHeight="true" outlineLevel="0" collapsed="false">
      <c r="A8" s="19" t="s">
        <v>492</v>
      </c>
      <c r="B8" s="20" t="s">
        <v>296</v>
      </c>
      <c r="C8" s="20" t="s">
        <v>301</v>
      </c>
      <c r="D8" s="20" t="s">
        <v>23</v>
      </c>
      <c r="E8" s="20" t="s">
        <v>493</v>
      </c>
    </row>
    <row r="9" customFormat="false" ht="30" hidden="false" customHeight="true" outlineLevel="0" collapsed="false">
      <c r="A9" s="19" t="s">
        <v>494</v>
      </c>
      <c r="B9" s="20" t="s">
        <v>495</v>
      </c>
      <c r="C9" s="20" t="s">
        <v>496</v>
      </c>
      <c r="D9" s="20" t="s">
        <v>497</v>
      </c>
      <c r="E9" s="20" t="s">
        <v>498</v>
      </c>
    </row>
    <row r="10" customFormat="false" ht="30" hidden="false" customHeight="true" outlineLevel="0" collapsed="false">
      <c r="A10" s="19" t="s">
        <v>499</v>
      </c>
      <c r="B10" s="20" t="s">
        <v>500</v>
      </c>
      <c r="C10" s="20" t="s">
        <v>501</v>
      </c>
      <c r="D10" s="20" t="s">
        <v>497</v>
      </c>
      <c r="E10" s="20" t="s">
        <v>502</v>
      </c>
    </row>
    <row r="11" customFormat="false" ht="30" hidden="false" customHeight="true" outlineLevel="0" collapsed="false">
      <c r="A11" s="19" t="s">
        <v>209</v>
      </c>
      <c r="B11" s="20" t="s">
        <v>503</v>
      </c>
      <c r="C11" s="20" t="s">
        <v>504</v>
      </c>
      <c r="D11" s="20" t="s">
        <v>497</v>
      </c>
      <c r="E11" s="20" t="s">
        <v>505</v>
      </c>
    </row>
    <row r="12" customFormat="false" ht="30" hidden="false" customHeight="true" outlineLevel="0" collapsed="false">
      <c r="A12" s="19" t="s">
        <v>506</v>
      </c>
      <c r="B12" s="20" t="s">
        <v>507</v>
      </c>
      <c r="C12" s="20" t="s">
        <v>508</v>
      </c>
      <c r="D12" s="20" t="s">
        <v>182</v>
      </c>
      <c r="E12" s="20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9B76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2" t="s">
        <v>510</v>
      </c>
      <c r="B1" s="12" t="s">
        <v>511</v>
      </c>
      <c r="C1" s="12" t="s">
        <v>512</v>
      </c>
      <c r="D1" s="12" t="s">
        <v>513</v>
      </c>
    </row>
    <row r="2" customFormat="false" ht="36" hidden="false" customHeight="true" outlineLevel="0" collapsed="false">
      <c r="A2" s="20" t="n">
        <v>1</v>
      </c>
      <c r="B2" s="20" t="s">
        <v>514</v>
      </c>
      <c r="C2" s="20" t="s">
        <v>515</v>
      </c>
      <c r="D2" s="24"/>
    </row>
    <row r="3" customFormat="false" ht="36" hidden="false" customHeight="true" outlineLevel="0" collapsed="false">
      <c r="A3" s="20" t="n">
        <v>2</v>
      </c>
      <c r="B3" s="20" t="s">
        <v>516</v>
      </c>
      <c r="C3" s="20" t="s">
        <v>517</v>
      </c>
      <c r="D3" s="24"/>
    </row>
    <row r="4" customFormat="false" ht="36" hidden="false" customHeight="true" outlineLevel="0" collapsed="false">
      <c r="A4" s="20" t="n">
        <v>3</v>
      </c>
      <c r="B4" s="20" t="s">
        <v>518</v>
      </c>
      <c r="C4" s="20" t="s">
        <v>519</v>
      </c>
      <c r="D4" s="24"/>
    </row>
    <row r="5" customFormat="false" ht="36" hidden="false" customHeight="true" outlineLevel="0" collapsed="false">
      <c r="A5" s="20" t="n">
        <v>4</v>
      </c>
      <c r="B5" s="20" t="s">
        <v>520</v>
      </c>
      <c r="C5" s="20" t="s">
        <v>521</v>
      </c>
      <c r="D5" s="24"/>
    </row>
    <row r="6" customFormat="false" ht="36" hidden="false" customHeight="true" outlineLevel="0" collapsed="false">
      <c r="A6" s="20" t="n">
        <v>5</v>
      </c>
      <c r="B6" s="20" t="s">
        <v>522</v>
      </c>
      <c r="C6" s="20" t="s">
        <v>523</v>
      </c>
      <c r="D6" s="24"/>
    </row>
    <row r="7" customFormat="false" ht="36" hidden="false" customHeight="true" outlineLevel="0" collapsed="false">
      <c r="A7" s="20" t="n">
        <v>6</v>
      </c>
      <c r="B7" s="20" t="s">
        <v>524</v>
      </c>
      <c r="C7" s="20" t="s">
        <v>525</v>
      </c>
      <c r="D7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2026-10-16T03:09:49Z</dcterms:created>
  <dc:creator>openpyxl</dc:creator>
  <dc:description/>
  <dc:language>en-US</dc:language>
  <cp:lastModifiedBy/>
  <dcterms:modified xsi:type="dcterms:W3CDTF">2026-10-16T03:09:49Z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